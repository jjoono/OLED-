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TCO_electrode" sheetId="2" state="visible" r:id="rId2"/>
    <sheet xmlns:r="http://schemas.openxmlformats.org/officeDocument/2006/relationships" name="b_thin_Ag_electr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Fig. 3(a) — electrode quality</t>
        </is>
      </c>
    </row>
    <row r="2">
      <c r="A2" s="2" t="inlineStr">
        <is>
          <t>What the round-trip loss and the substrate-delivered power do as the transparent electrode gets worse</t>
        </is>
      </c>
    </row>
    <row r="4">
      <c r="A4" s="2" t="inlineStr">
        <is>
          <t>Model</t>
        </is>
      </c>
    </row>
    <row r="5">
      <c r="A5" s="2" t="inlineStr">
        <is>
          <t>Method</t>
        </is>
      </c>
      <c r="B5" t="inlineStr">
        <is>
          <t>Dipole transfer matrix (CPS) with the five-channel power budget: air + substrate-confined + waveguided + u&gt;1 + absorbed = 1</t>
        </is>
      </c>
    </row>
    <row r="6">
      <c r="A6" s="2" t="inlineStr">
        <is>
          <t>Wavelength</t>
        </is>
      </c>
      <c r="B6" t="inlineStr">
        <is>
          <t>550 nm, single wavelength</t>
        </is>
      </c>
    </row>
    <row r="7">
      <c r="A7" s="2" t="inlineStr">
        <is>
          <t>Emitter</t>
        </is>
      </c>
      <c r="B7" t="inlineStr">
        <is>
          <t>isotropic dipole (horizontal fraction 2/3) at the centre of the EML, PLQY = 1</t>
        </is>
      </c>
    </row>
    <row r="8">
      <c r="A8" s="2" t="inlineStr">
        <is>
          <t>u grid</t>
        </is>
      </c>
      <c r="B8" t="inlineStr">
        <is>
          <t>3000 points, maximum u = 3; the five channels close to 1.000000 on every row</t>
        </is>
      </c>
    </row>
    <row r="10">
      <c r="A10" s="2" t="inlineStr">
        <is>
          <t>Stack — two alternative devices, one bottom electrode each</t>
        </is>
      </c>
    </row>
    <row r="11">
      <c r="A11" s="2" t="inlineStr">
        <is>
          <t>Common part</t>
        </is>
      </c>
      <c r="B11" t="inlineStr">
        <is>
          <t>Ag 100 nm (McPeak measured n,k = 0.044 + 3.819i, never swept) / ETL 200 nm / EML 20 nm / HTL 200 nm / [bottom electrode] / substrate</t>
        </is>
      </c>
    </row>
    <row r="12">
      <c r="A12" s="2" t="inlineStr">
        <is>
          <t>Device A (sheet a)</t>
        </is>
      </c>
      <c r="B12" t="inlineStr">
        <is>
          <t>bottom electrode = 50 nm TCO, n = 1.8636 + k i, with k swept from 0 to 0.08</t>
        </is>
      </c>
    </row>
    <row r="13">
      <c r="A13" s="2" t="inlineStr">
        <is>
          <t>Device B (sheet b)</t>
        </is>
      </c>
      <c r="B13" t="inlineStr">
        <is>
          <t>bottom electrode = 10 nm thin Ag, n = n_Ag + 3.819i, with n_Ag swept from 0 to 0.5</t>
        </is>
      </c>
    </row>
    <row r="14">
      <c r="A14" s="2" t="inlineStr">
        <is>
          <t>Organics</t>
        </is>
      </c>
      <c r="B14" t="inlineStr">
        <is>
          <t>ETL, EML and HTL isotropic, n = 1.8, k = 0 — the same generic stack as Fig. 2</t>
        </is>
      </c>
    </row>
    <row r="15">
      <c r="A15" s="2" t="inlineStr">
        <is>
          <t>Substrate</t>
        </is>
      </c>
      <c r="B15" t="inlineStr">
        <is>
          <t>n = 1.80, index-matched to the outcoupling structure</t>
        </is>
      </c>
    </row>
    <row r="16">
      <c r="A16" s="2" t="inlineStr">
        <is>
          <t>TCO real index</t>
        </is>
      </c>
      <c r="B16" t="inlineStr">
        <is>
          <t>1.8636, the real part of the Koenig et al. (2014) ITO at 550 nm, so the sweep passes through the operating point of Fig. 2</t>
        </is>
      </c>
    </row>
    <row r="18">
      <c r="A18" s="2" t="inlineStr">
        <is>
          <t>Cross-check against Fig. 2</t>
        </is>
      </c>
    </row>
    <row r="19">
      <c r="A19" s="2" t="inlineStr">
        <is>
          <t>same stack, same numbers</t>
        </is>
      </c>
      <c r="B19" t="inlineStr">
        <is>
          <t>at k_TCO = 0.0032 (the Koenig value) device A gives eta_sub = 0.9564 and A' = 0.0310, identical to the Ag / ITO 50 nm point of Fig. 2 at n_sub = 1.8</t>
        </is>
      </c>
    </row>
    <row r="21">
      <c r="A21" s="2" t="inlineStr">
        <is>
          <t>Quantities</t>
        </is>
      </c>
    </row>
    <row r="22">
      <c r="A22" s="2" t="inlineStr">
        <is>
          <t>eta_sub</t>
        </is>
      </c>
      <c r="B22" t="inlineStr">
        <is>
          <t>substrate-delivered power: the fraction of dipole power that reaches the substrate at all angles (simulated)</t>
        </is>
      </c>
    </row>
    <row r="23">
      <c r="A23" s="2" t="inlineStr">
        <is>
          <t>A'</t>
        </is>
      </c>
      <c r="B23" t="inlineStr">
        <is>
          <t>round-trip loss, 1 minus the reflectance of the stack seen from the substrate, flux-weighted over angle (simulated)</t>
        </is>
      </c>
    </row>
    <row r="24">
      <c r="A24" s="2" t="inlineStr">
        <is>
          <t>waveguided, u&gt;1, absorbed</t>
        </is>
      </c>
      <c r="B24" t="inlineStr">
        <is>
          <t>the other three channels of the budget.  u&gt;1 is surface plasmon plus any light guided in the electrode when its index exceeds the substrate</t>
        </is>
      </c>
    </row>
    <row r="25">
      <c r="A25" s="2" t="inlineStr">
        <is>
          <t>absorbed, split</t>
        </is>
      </c>
      <c r="B25" t="inlineStr">
        <is>
          <t>the same absorption separated into the Ag reflector and the bottom electrode</t>
        </is>
      </c>
    </row>
    <row r="26">
      <c r="A26" s="2" t="inlineStr">
        <is>
          <t>eta_ext</t>
        </is>
      </c>
      <c r="B26" t="inlineStr">
        <is>
          <t>p / [p + (1 - p) A'].  FORMULA, driven by the p cell below</t>
        </is>
      </c>
    </row>
    <row r="27">
      <c r="A27" s="2" t="inlineStr">
        <is>
          <t>EQE</t>
        </is>
      </c>
      <c r="B27" t="inlineStr">
        <is>
          <t>eta_sub x eta_ext.  FORMULA</t>
        </is>
      </c>
    </row>
    <row r="29">
      <c r="A29" s="2" t="inlineStr">
        <is>
          <t>Input — edit this cell</t>
        </is>
      </c>
    </row>
    <row r="30">
      <c r="A30" s="2" t="inlineStr">
        <is>
          <t>p (single-pass escape)</t>
        </is>
      </c>
      <c r="B30" s="3" t="n">
        <v>0.3</v>
      </c>
    </row>
    <row r="31">
      <c r="A31" s="2" t="inlineStr">
        <is>
          <t>Source of p</t>
        </is>
      </c>
      <c r="B31" t="inlineStr">
        <is>
          <t>read off the single-pass escape probability of the outcoupling structure at n_sub = 1.8</t>
        </is>
      </c>
    </row>
    <row r="33">
      <c r="A33" s="2" t="inlineStr">
        <is>
          <t>Provenance</t>
        </is>
      </c>
    </row>
    <row r="34">
      <c r="A34" s="2" t="inlineStr">
        <is>
          <t>Script</t>
        </is>
      </c>
      <c r="B34" t="inlineStr">
        <is>
          <t>sim/design_rule4/dr4e.m (Octave), MODE=kito for sheet a and MODE=nagb for sheet b, run with UNUM=3000</t>
        </is>
      </c>
    </row>
    <row r="35">
      <c r="A35" s="2" t="inlineStr">
        <is>
          <t>Source files</t>
        </is>
      </c>
      <c r="B35" t="inlineStr">
        <is>
          <t>f3a_ito_konig.csv and f3a_ag_konig.csv</t>
        </is>
      </c>
    </row>
    <row r="36">
      <c r="A36" s="2" t="inlineStr">
        <is>
          <t>Superseded</t>
        </is>
      </c>
      <c r="B36" t="inlineStr">
        <is>
          <t>p_ito_n19.csv and p_ag.csv, the earlier run at n_TCO = 1.9 with a uniaxial ETL (n_e = 1.6) and a thin-Ag k of 3.5</t>
        </is>
      </c>
    </row>
    <row r="37">
      <c r="A37" s="2" t="inlineStr">
        <is>
          <t>Repository</t>
        </is>
      </c>
      <c r="B37" t="inlineStr">
        <is>
          <t>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Device A: 50 nm TCO bottom electrode, n = 1.8636 + k i</t>
        </is>
      </c>
    </row>
    <row r="2">
      <c r="A2" t="inlineStr">
        <is>
          <t>eta_ext and EQE are formulas driven by p in README!B30; the closure column re-adds the four channels</t>
        </is>
      </c>
    </row>
    <row r="4">
      <c r="A4" s="2" t="inlineStr">
        <is>
          <t>k_TCO</t>
        </is>
      </c>
      <c r="B4" s="2" t="inlineStr">
        <is>
          <t>eta_sub</t>
        </is>
      </c>
      <c r="C4" s="2" t="inlineStr">
        <is>
          <t>A' (round trip)</t>
        </is>
      </c>
      <c r="D4" s="2" t="inlineStr">
        <is>
          <t>waveguided</t>
        </is>
      </c>
      <c r="E4" s="2" t="inlineStr">
        <is>
          <t>u&gt;1 (SPP etc.)</t>
        </is>
      </c>
      <c r="F4" s="2" t="inlineStr">
        <is>
          <t>absorbed</t>
        </is>
      </c>
      <c r="G4" s="2" t="inlineStr">
        <is>
          <t xml:space="preserve">  in the Ag reflector</t>
        </is>
      </c>
      <c r="H4" s="2" t="inlineStr">
        <is>
          <t xml:space="preserve">  in the bottom electrode</t>
        </is>
      </c>
      <c r="I4" s="2" t="inlineStr">
        <is>
          <t>eta_ext</t>
        </is>
      </c>
      <c r="J4" s="2" t="inlineStr">
        <is>
          <t>EQE</t>
        </is>
      </c>
      <c r="K4" s="2" t="inlineStr">
        <is>
          <t>closure check</t>
        </is>
      </c>
    </row>
    <row r="5">
      <c r="A5" s="4" t="n">
        <v>0</v>
      </c>
      <c r="B5" s="4" t="n">
        <v>0.9661340122208639</v>
      </c>
      <c r="C5" s="4" t="n">
        <v>0.01668434118264583</v>
      </c>
      <c r="D5" s="4" t="n">
        <v>0</v>
      </c>
      <c r="E5" s="4" t="n">
        <v>0.02706120545330398</v>
      </c>
      <c r="F5" s="4" t="n">
        <v>0.006804782325831208</v>
      </c>
      <c r="G5" s="4" t="n">
        <v>0.006804782325831208</v>
      </c>
      <c r="H5" s="4" t="n">
        <v>0</v>
      </c>
      <c r="I5" s="4">
        <f>README!$B$30/(README!$B$30+(1-README!$B$30)*C5)</f>
        <v/>
      </c>
      <c r="J5" s="4">
        <f>B5*I5</f>
        <v/>
      </c>
      <c r="K5" s="5">
        <f>B5+D5+E5+F5</f>
        <v/>
      </c>
    </row>
    <row r="6">
      <c r="A6" s="4" t="n">
        <v>0.0025</v>
      </c>
      <c r="B6" s="4" t="n">
        <v>0.9585620477656174</v>
      </c>
      <c r="C6" s="4" t="n">
        <v>0.02783370677629937</v>
      </c>
      <c r="D6" s="4" t="n">
        <v>0</v>
      </c>
      <c r="E6" s="4" t="n">
        <v>0.02766909306447824</v>
      </c>
      <c r="F6" s="4" t="n">
        <v>0.01376885916990402</v>
      </c>
      <c r="G6" s="4" t="n">
        <v>0.006804366061596834</v>
      </c>
      <c r="H6" s="4" t="n">
        <v>0.006964493108307183</v>
      </c>
      <c r="I6" s="4">
        <f>README!$B$30/(README!$B$30+(1-README!$B$30)*C6)</f>
        <v/>
      </c>
      <c r="J6" s="4">
        <f>B6*I6</f>
        <v/>
      </c>
      <c r="K6" s="5">
        <f>B6+D6+E6+F6</f>
        <v/>
      </c>
    </row>
    <row r="7">
      <c r="A7" s="4" t="n">
        <v>0.005</v>
      </c>
      <c r="B7" s="4" t="n">
        <v>0.9512484415381963</v>
      </c>
      <c r="C7" s="4" t="n">
        <v>0.03861208798361748</v>
      </c>
      <c r="D7" s="4" t="n">
        <v>0</v>
      </c>
      <c r="E7" s="4" t="n">
        <v>0.02827393474444536</v>
      </c>
      <c r="F7" s="4" t="n">
        <v>0.02047762371735521</v>
      </c>
      <c r="G7" s="4" t="n">
        <v>0.006804319429090725</v>
      </c>
      <c r="H7" s="4" t="n">
        <v>0.01367330428826448</v>
      </c>
      <c r="I7" s="4">
        <f>README!$B$30/(README!$B$30+(1-README!$B$30)*C7)</f>
        <v/>
      </c>
      <c r="J7" s="4">
        <f>B7*I7</f>
        <v/>
      </c>
      <c r="K7" s="5">
        <f>B7+D7+E7+F7</f>
        <v/>
      </c>
    </row>
    <row r="8">
      <c r="A8" s="4" t="n">
        <v>0.01</v>
      </c>
      <c r="B8" s="4" t="n">
        <v>0.9373028237387763</v>
      </c>
      <c r="C8" s="4" t="n">
        <v>0.05917103017622383</v>
      </c>
      <c r="D8" s="4" t="n">
        <v>0</v>
      </c>
      <c r="E8" s="4" t="n">
        <v>0.02946497067872856</v>
      </c>
      <c r="F8" s="4" t="n">
        <v>0.03323220558249652</v>
      </c>
      <c r="G8" s="4" t="n">
        <v>0.006805195470683365</v>
      </c>
      <c r="H8" s="4" t="n">
        <v>0.02642701011181316</v>
      </c>
      <c r="I8" s="4">
        <f>README!$B$30/(README!$B$30+(1-README!$B$30)*C8)</f>
        <v/>
      </c>
      <c r="J8" s="4">
        <f>B8*I8</f>
        <v/>
      </c>
      <c r="K8" s="5">
        <f>B8+D8+E8+F8</f>
        <v/>
      </c>
    </row>
    <row r="9">
      <c r="A9" s="4" t="n">
        <v>0.015</v>
      </c>
      <c r="B9" s="4" t="n">
        <v>0.9241418539992989</v>
      </c>
      <c r="C9" s="4" t="n">
        <v>0.0785591643236162</v>
      </c>
      <c r="D9" s="4" t="n">
        <v>0</v>
      </c>
      <c r="E9" s="4" t="n">
        <v>0.03061723510505386</v>
      </c>
      <c r="F9" s="4" t="n">
        <v>0.04524091089565675</v>
      </c>
      <c r="G9" s="4" t="n">
        <v>0.006807206311606917</v>
      </c>
      <c r="H9" s="4" t="n">
        <v>0.03843370458404984</v>
      </c>
      <c r="I9" s="4">
        <f>README!$B$30/(README!$B$30+(1-README!$B$30)*C9)</f>
        <v/>
      </c>
      <c r="J9" s="4">
        <f>B9*I9</f>
        <v/>
      </c>
      <c r="K9" s="5">
        <f>B9+D9+E9+F9</f>
        <v/>
      </c>
    </row>
    <row r="10">
      <c r="A10" s="4" t="n">
        <v>0.02</v>
      </c>
      <c r="B10" s="4" t="n">
        <v>0.9116504364038353</v>
      </c>
      <c r="C10" s="4" t="n">
        <v>0.09693145340278186</v>
      </c>
      <c r="D10" s="4" t="n">
        <v>0</v>
      </c>
      <c r="E10" s="4" t="n">
        <v>0.03171755524030173</v>
      </c>
      <c r="F10" s="4" t="n">
        <v>0.05663200835587281</v>
      </c>
      <c r="G10" s="4" t="n">
        <v>0.006810231529589321</v>
      </c>
      <c r="H10" s="4" t="n">
        <v>0.0498217768262835</v>
      </c>
      <c r="I10" s="4">
        <f>README!$B$30/(README!$B$30+(1-README!$B$30)*C10)</f>
        <v/>
      </c>
      <c r="J10" s="4">
        <f>B10*I10</f>
        <v/>
      </c>
      <c r="K10" s="5">
        <f>B10+D10+E10+F10</f>
        <v/>
      </c>
    </row>
    <row r="11">
      <c r="A11" s="4" t="n">
        <v>0.025</v>
      </c>
      <c r="B11" s="4" t="n">
        <v>0.8997411399964634</v>
      </c>
      <c r="C11" s="4" t="n">
        <v>0.1144103503173882</v>
      </c>
      <c r="D11" s="4" t="n">
        <v>0</v>
      </c>
      <c r="E11" s="4" t="n">
        <v>0.03275713452503632</v>
      </c>
      <c r="F11" s="4" t="n">
        <v>0.06750172547849601</v>
      </c>
      <c r="G11" s="4" t="n">
        <v>0.006814192783045432</v>
      </c>
      <c r="H11" s="4" t="n">
        <v>0.06068753269545057</v>
      </c>
      <c r="I11" s="4">
        <f>README!$B$30/(README!$B$30+(1-README!$B$30)*C11)</f>
        <v/>
      </c>
      <c r="J11" s="4">
        <f>B11*I11</f>
        <v/>
      </c>
      <c r="K11" s="5">
        <f>B11+D11+E11+F11</f>
        <v/>
      </c>
    </row>
    <row r="12">
      <c r="A12" s="4" t="n">
        <v>0.03</v>
      </c>
      <c r="B12" s="4" t="n">
        <v>0.8883453532616175</v>
      </c>
      <c r="C12" s="4" t="n">
        <v>0.1310939822951122</v>
      </c>
      <c r="D12" s="4" t="n">
        <v>0</v>
      </c>
      <c r="E12" s="4" t="n">
        <v>0.03373125776266993</v>
      </c>
      <c r="F12" s="4" t="n">
        <v>0.07792338897570716</v>
      </c>
      <c r="G12" s="4" t="n">
        <v>0.006819028578636126</v>
      </c>
      <c r="H12" s="4" t="n">
        <v>0.07110436039707103</v>
      </c>
      <c r="I12" s="4">
        <f>README!$B$30/(README!$B$30+(1-README!$B$30)*C12)</f>
        <v/>
      </c>
      <c r="J12" s="4">
        <f>B12*I12</f>
        <v/>
      </c>
      <c r="K12" s="5">
        <f>B12+D12+E12+F12</f>
        <v/>
      </c>
    </row>
    <row r="13">
      <c r="A13" s="4" t="n">
        <v>0.035</v>
      </c>
      <c r="B13" s="4" t="n">
        <v>0.8774075676678821</v>
      </c>
      <c r="C13" s="4" t="n">
        <v>0.1470622400461805</v>
      </c>
      <c r="D13" s="4" t="n">
        <v>0</v>
      </c>
      <c r="E13" s="4" t="n">
        <v>0.03463853101501563</v>
      </c>
      <c r="F13" s="4" t="n">
        <v>0.08795390131710509</v>
      </c>
      <c r="G13" s="4" t="n">
        <v>0.006824682186463623</v>
      </c>
      <c r="H13" s="4" t="n">
        <v>0.08112921913064147</v>
      </c>
      <c r="I13" s="4">
        <f>README!$B$30/(README!$B$30+(1-README!$B$30)*C13)</f>
        <v/>
      </c>
      <c r="J13" s="4">
        <f>B13*I13</f>
        <v/>
      </c>
      <c r="K13" s="5">
        <f>B13+D13+E13+F13</f>
        <v/>
      </c>
    </row>
    <row r="14">
      <c r="A14" s="4" t="n">
        <v>0.04</v>
      </c>
      <c r="B14" s="4" t="n">
        <v>0.8668817920163592</v>
      </c>
      <c r="C14" s="4" t="n">
        <v>0.1623811988082006</v>
      </c>
      <c r="D14" s="4" t="n">
        <v>0</v>
      </c>
      <c r="E14" s="4" t="n">
        <v>0.03547997294164823</v>
      </c>
      <c r="F14" s="4" t="n">
        <v>0.09763823504199906</v>
      </c>
      <c r="G14" s="4" t="n">
        <v>0.006831097445823669</v>
      </c>
      <c r="H14" s="4" t="n">
        <v>0.09080713759617538</v>
      </c>
      <c r="I14" s="4">
        <f>README!$B$30/(README!$B$30+(1-README!$B$30)*C14)</f>
        <v/>
      </c>
      <c r="J14" s="4">
        <f>B14*I14</f>
        <v/>
      </c>
      <c r="K14" s="5">
        <f>B14+D14+E14+F14</f>
        <v/>
      </c>
    </row>
    <row r="15">
      <c r="A15" s="4" t="n">
        <v>0.045</v>
      </c>
      <c r="B15" s="4" t="n">
        <v>0.8567292681519486</v>
      </c>
      <c r="C15" s="4" t="n">
        <v>0.1771063094024855</v>
      </c>
      <c r="D15" s="4" t="n">
        <v>0</v>
      </c>
      <c r="E15" s="4" t="n">
        <v>0.03625817683928683</v>
      </c>
      <c r="F15" s="4" t="n">
        <v>0.1070125550087565</v>
      </c>
      <c r="G15" s="4" t="n">
        <v>0.006838218357477959</v>
      </c>
      <c r="H15" s="4" t="n">
        <v>0.1001743366512785</v>
      </c>
      <c r="I15" s="4">
        <f>README!$B$30/(README!$B$30+(1-README!$B$30)*C15)</f>
        <v/>
      </c>
      <c r="J15" s="4">
        <f>B15*I15</f>
        <v/>
      </c>
      <c r="K15" s="5">
        <f>B15+D15+E15+F15</f>
        <v/>
      </c>
    </row>
    <row r="16">
      <c r="A16" s="4" t="n">
        <v>0.05</v>
      </c>
      <c r="B16" s="4" t="n">
        <v>0.8469169437081073</v>
      </c>
      <c r="C16" s="4" t="n">
        <v>0.1912847168529456</v>
      </c>
      <c r="D16" s="4" t="n">
        <v>0</v>
      </c>
      <c r="E16" s="4" t="n">
        <v>0.0369766447080254</v>
      </c>
      <c r="F16" s="4" t="n">
        <v>0.1161064115838733</v>
      </c>
      <c r="G16" s="4" t="n">
        <v>0.006845990021916692</v>
      </c>
      <c r="H16" s="4" t="n">
        <v>0.1092604215619566</v>
      </c>
      <c r="I16" s="4">
        <f>README!$B$30/(README!$B$30+(1-README!$B$30)*C16)</f>
        <v/>
      </c>
      <c r="J16" s="4">
        <f>B16*I16</f>
        <v/>
      </c>
      <c r="K16" s="5">
        <f>B16+D16+E16+F16</f>
        <v/>
      </c>
    </row>
    <row r="17">
      <c r="A17" s="4" t="n">
        <v>0.055</v>
      </c>
      <c r="B17" s="4" t="n">
        <v>0.8374163860729688</v>
      </c>
      <c r="C17" s="4" t="n">
        <v>0.2049569679746669</v>
      </c>
      <c r="D17" s="4" t="n">
        <v>0</v>
      </c>
      <c r="E17" s="4" t="n">
        <v>0.03763930956568591</v>
      </c>
      <c r="F17" s="4" t="n">
        <v>0.1249443043613544</v>
      </c>
      <c r="G17" s="4" t="n">
        <v>0.006854359745161828</v>
      </c>
      <c r="H17" s="4" t="n">
        <v>0.1180899446161925</v>
      </c>
      <c r="I17" s="4">
        <f>README!$B$30/(README!$B$30+(1-README!$B$30)*C17)</f>
        <v/>
      </c>
      <c r="J17" s="4">
        <f>B17*I17</f>
        <v/>
      </c>
      <c r="K17" s="5">
        <f>B17+D17+E17+F17</f>
        <v/>
      </c>
    </row>
    <row r="18">
      <c r="A18" s="4" t="n">
        <v>0.06</v>
      </c>
      <c r="B18" s="4" t="n">
        <v>0.8282029658529382</v>
      </c>
      <c r="C18" s="4" t="n">
        <v>0.2181582896728647</v>
      </c>
      <c r="D18" s="4" t="n">
        <v>0</v>
      </c>
      <c r="E18" s="4" t="n">
        <v>0.03825021915926229</v>
      </c>
      <c r="F18" s="4" t="n">
        <v>0.1335468149878054</v>
      </c>
      <c r="G18" s="4" t="n">
        <v>0.006863277872892249</v>
      </c>
      <c r="H18" s="4" t="n">
        <v>0.1266835371149132</v>
      </c>
      <c r="I18" s="4">
        <f>README!$B$30/(README!$B$30+(1-README!$B$30)*C18)</f>
        <v/>
      </c>
      <c r="J18" s="4">
        <f>B18*I18</f>
        <v/>
      </c>
      <c r="K18" s="5">
        <f>B18+D18+E18+F18</f>
        <v/>
      </c>
    </row>
    <row r="19">
      <c r="A19" s="4" t="n">
        <v>0.065</v>
      </c>
      <c r="B19" s="4" t="n">
        <v>0.8192552178462997</v>
      </c>
      <c r="C19" s="4" t="n">
        <v>0.2309195620769412</v>
      </c>
      <c r="D19" s="4" t="n">
        <v>0</v>
      </c>
      <c r="E19" s="4" t="n">
        <v>0.03881334125013568</v>
      </c>
      <c r="F19" s="4" t="n">
        <v>0.1419314409035681</v>
      </c>
      <c r="G19" s="4" t="n">
        <v>0.006872698270413806</v>
      </c>
      <c r="H19" s="4" t="n">
        <v>0.1350587426331543</v>
      </c>
      <c r="I19" s="4">
        <f>README!$B$30/(README!$B$30+(1-README!$B$30)*C19)</f>
        <v/>
      </c>
      <c r="J19" s="4">
        <f>B19*I19</f>
        <v/>
      </c>
      <c r="K19" s="5">
        <f>B19+D19+E19+F19</f>
        <v/>
      </c>
    </row>
    <row r="20">
      <c r="A20" s="4" t="n">
        <v>0.07000000000000001</v>
      </c>
      <c r="B20" s="4" t="n">
        <v>0.8105543284193323</v>
      </c>
      <c r="C20" s="4" t="n">
        <v>0.2432680713005252</v>
      </c>
      <c r="D20" s="4" t="n">
        <v>0</v>
      </c>
      <c r="E20" s="4" t="n">
        <v>0.03933245319836792</v>
      </c>
      <c r="F20" s="4" t="n">
        <v>0.1501132183822962</v>
      </c>
      <c r="G20" s="4" t="n">
        <v>0.006882578503585689</v>
      </c>
      <c r="H20" s="4" t="n">
        <v>0.1432306398787105</v>
      </c>
      <c r="I20" s="4">
        <f>README!$B$30/(README!$B$30+(1-README!$B$30)*C20)</f>
        <v/>
      </c>
      <c r="J20" s="4">
        <f>B20*I20</f>
        <v/>
      </c>
      <c r="K20" s="5">
        <f>B20+D20+E20+F20</f>
        <v/>
      </c>
    </row>
    <row r="21">
      <c r="A21" s="4" t="n">
        <v>0.07500000000000001</v>
      </c>
      <c r="B21" s="4" t="n">
        <v>0.802083718477937</v>
      </c>
      <c r="C21" s="4" t="n">
        <v>0.2552281003265162</v>
      </c>
      <c r="D21" s="4" t="n">
        <v>0</v>
      </c>
      <c r="E21" s="4" t="n">
        <v>0.03981108660976158</v>
      </c>
      <c r="F21" s="4" t="n">
        <v>0.1581051949123062</v>
      </c>
      <c r="G21" s="4" t="n">
        <v>0.00689287980844171</v>
      </c>
      <c r="H21" s="4" t="n">
        <v>0.1512123151038645</v>
      </c>
      <c r="I21" s="4">
        <f>README!$B$30/(README!$B$30+(1-README!$B$30)*C21)</f>
        <v/>
      </c>
      <c r="J21" s="4">
        <f>B21*I21</f>
        <v/>
      </c>
      <c r="K21" s="5">
        <f>B21+D21+E21+F21</f>
        <v/>
      </c>
    </row>
    <row r="22">
      <c r="A22" s="4" t="n">
        <v>0.08</v>
      </c>
      <c r="B22" s="4" t="n">
        <v>0.793828701497072</v>
      </c>
      <c r="C22" s="4" t="n">
        <v>0.2668213989782433</v>
      </c>
      <c r="D22" s="4" t="n">
        <v>0</v>
      </c>
      <c r="E22" s="4" t="n">
        <v>0.04025250622441919</v>
      </c>
      <c r="F22" s="4" t="n">
        <v>0.1659187922785061</v>
      </c>
      <c r="G22" s="4" t="n">
        <v>0.006903566928750993</v>
      </c>
      <c r="H22" s="4" t="n">
        <v>0.1590152253497551</v>
      </c>
      <c r="I22" s="4">
        <f>README!$B$30/(README!$B$30+(1-README!$B$30)*C22)</f>
        <v/>
      </c>
      <c r="J22" s="4">
        <f>B22*I22</f>
        <v/>
      </c>
      <c r="K22" s="5">
        <f>B22+D22+E22+F22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Device B: 10 nm thin Ag bottom electrode, n = n_Ag + 3.819i</t>
        </is>
      </c>
    </row>
    <row r="2">
      <c r="A2" t="inlineStr">
        <is>
          <t>eta_ext and EQE are formulas driven by p in README!B30; the closure column re-adds the four channels</t>
        </is>
      </c>
    </row>
    <row r="4">
      <c r="A4" s="2" t="inlineStr">
        <is>
          <t>n_Ag</t>
        </is>
      </c>
      <c r="B4" s="2" t="inlineStr">
        <is>
          <t>eta_sub</t>
        </is>
      </c>
      <c r="C4" s="2" t="inlineStr">
        <is>
          <t>A' (round trip)</t>
        </is>
      </c>
      <c r="D4" s="2" t="inlineStr">
        <is>
          <t>waveguided</t>
        </is>
      </c>
      <c r="E4" s="2" t="inlineStr">
        <is>
          <t>u&gt;1 (SPP etc.)</t>
        </is>
      </c>
      <c r="F4" s="2" t="inlineStr">
        <is>
          <t>absorbed</t>
        </is>
      </c>
      <c r="G4" s="2" t="inlineStr">
        <is>
          <t xml:space="preserve">  in the Ag reflector</t>
        </is>
      </c>
      <c r="H4" s="2" t="inlineStr">
        <is>
          <t xml:space="preserve">  in the bottom electrode</t>
        </is>
      </c>
      <c r="I4" s="2" t="inlineStr">
        <is>
          <t>eta_ext</t>
        </is>
      </c>
      <c r="J4" s="2" t="inlineStr">
        <is>
          <t>EQE</t>
        </is>
      </c>
      <c r="K4" s="2" t="inlineStr">
        <is>
          <t>closure check</t>
        </is>
      </c>
    </row>
    <row r="5">
      <c r="A5" s="4" t="n">
        <v>0</v>
      </c>
      <c r="B5" s="4" t="n">
        <v>0.9040627252091361</v>
      </c>
      <c r="C5" s="4" t="n">
        <v>0.01807314458419995</v>
      </c>
      <c r="D5" s="4" t="n">
        <v>0</v>
      </c>
      <c r="E5" s="4" t="n">
        <v>0.0805480412995894</v>
      </c>
      <c r="F5" s="4" t="n">
        <v>0.01538923349127867</v>
      </c>
      <c r="G5" s="4" t="n">
        <v>0.01538923349127867</v>
      </c>
      <c r="H5" s="4" t="n">
        <v>0</v>
      </c>
      <c r="I5" s="4">
        <f>README!$B$30/(README!$B$30+(1-README!$B$30)*C5)</f>
        <v/>
      </c>
      <c r="J5" s="4">
        <f>B5*I5</f>
        <v/>
      </c>
      <c r="K5" s="5">
        <f>B5+D5+E5+F5</f>
        <v/>
      </c>
    </row>
    <row r="6">
      <c r="A6" s="4" t="n">
        <v>0.025</v>
      </c>
      <c r="B6" s="4" t="n">
        <v>0.9061529273096128</v>
      </c>
      <c r="C6" s="4" t="n">
        <v>0.0377846082628811</v>
      </c>
      <c r="D6" s="4" t="n">
        <v>0</v>
      </c>
      <c r="E6" s="4" t="n">
        <v>0.06048097596807766</v>
      </c>
      <c r="F6" s="4" t="n">
        <v>0.03336609672230251</v>
      </c>
      <c r="G6" s="4" t="n">
        <v>0.01549501867945176</v>
      </c>
      <c r="H6" s="4" t="n">
        <v>0.01787107804285075</v>
      </c>
      <c r="I6" s="4">
        <f>README!$B$30/(README!$B$30+(1-README!$B$30)*C6)</f>
        <v/>
      </c>
      <c r="J6" s="4">
        <f>B6*I6</f>
        <v/>
      </c>
      <c r="K6" s="5">
        <f>B6+D6+E6+F6</f>
        <v/>
      </c>
    </row>
    <row r="7">
      <c r="A7" s="4" t="n">
        <v>0.05</v>
      </c>
      <c r="B7" s="4" t="n">
        <v>0.8963387964635759</v>
      </c>
      <c r="C7" s="4" t="n">
        <v>0.05681267108149501</v>
      </c>
      <c r="D7" s="4" t="n">
        <v>0</v>
      </c>
      <c r="E7" s="4" t="n">
        <v>0.05318894201088408</v>
      </c>
      <c r="F7" s="4" t="n">
        <v>0.05047226152554346</v>
      </c>
      <c r="G7" s="4" t="n">
        <v>0.01539832508407644</v>
      </c>
      <c r="H7" s="4" t="n">
        <v>0.03507393644146702</v>
      </c>
      <c r="I7" s="4">
        <f>README!$B$30/(README!$B$30+(1-README!$B$30)*C7)</f>
        <v/>
      </c>
      <c r="J7" s="4">
        <f>B7*I7</f>
        <v/>
      </c>
      <c r="K7" s="5">
        <f>B7+D7+E7+F7</f>
        <v/>
      </c>
    </row>
    <row r="8">
      <c r="A8" s="4" t="n">
        <v>0.07500000000000001</v>
      </c>
      <c r="B8" s="4" t="n">
        <v>0.8830197482329449</v>
      </c>
      <c r="C8" s="4" t="n">
        <v>0.07519217265443834</v>
      </c>
      <c r="D8" s="4" t="n">
        <v>0</v>
      </c>
      <c r="E8" s="4" t="n">
        <v>0.05030042293749666</v>
      </c>
      <c r="F8" s="4" t="n">
        <v>0.06667982882955306</v>
      </c>
      <c r="G8" s="4" t="n">
        <v>0.01524109675622314</v>
      </c>
      <c r="H8" s="4" t="n">
        <v>0.05143873207332992</v>
      </c>
      <c r="I8" s="4">
        <f>README!$B$30/(README!$B$30+(1-README!$B$30)*C8)</f>
        <v/>
      </c>
      <c r="J8" s="4">
        <f>B8*I8</f>
        <v/>
      </c>
      <c r="K8" s="5">
        <f>B8+D8+E8+F8</f>
        <v/>
      </c>
    </row>
    <row r="9">
      <c r="A9" s="4" t="n">
        <v>0.1</v>
      </c>
      <c r="B9" s="4" t="n">
        <v>0.8688495455172007</v>
      </c>
      <c r="C9" s="4" t="n">
        <v>0.09295518295909388</v>
      </c>
      <c r="D9" s="4" t="n">
        <v>0</v>
      </c>
      <c r="E9" s="4" t="n">
        <v>0.04908006933629687</v>
      </c>
      <c r="F9" s="4" t="n">
        <v>0.0820703851465024</v>
      </c>
      <c r="G9" s="4" t="n">
        <v>0.0150683117352357</v>
      </c>
      <c r="H9" s="4" t="n">
        <v>0.06700207341126671</v>
      </c>
      <c r="I9" s="4">
        <f>README!$B$30/(README!$B$30+(1-README!$B$30)*C9)</f>
        <v/>
      </c>
      <c r="J9" s="4">
        <f>B9*I9</f>
        <v/>
      </c>
      <c r="K9" s="5">
        <f>B9+D9+E9+F9</f>
        <v/>
      </c>
    </row>
    <row r="10">
      <c r="A10" s="4" t="n">
        <v>0.125</v>
      </c>
      <c r="B10" s="4" t="n">
        <v>0.8547134620654115</v>
      </c>
      <c r="C10" s="4" t="n">
        <v>0.1101313280817954</v>
      </c>
      <c r="D10" s="4" t="n">
        <v>0</v>
      </c>
      <c r="E10" s="4" t="n">
        <v>0.04856102908225195</v>
      </c>
      <c r="F10" s="4" t="n">
        <v>0.09672550885233969</v>
      </c>
      <c r="G10" s="4" t="n">
        <v>0.01489501046498674</v>
      </c>
      <c r="H10" s="4" t="n">
        <v>0.08183049838735294</v>
      </c>
      <c r="I10" s="4">
        <f>README!$B$30/(README!$B$30+(1-README!$B$30)*C10)</f>
        <v/>
      </c>
      <c r="J10" s="4">
        <f>B10*I10</f>
        <v/>
      </c>
      <c r="K10" s="5">
        <f>B10+D10+E10+F10</f>
        <v/>
      </c>
    </row>
    <row r="11">
      <c r="A11" s="4" t="n">
        <v>0.15</v>
      </c>
      <c r="B11" s="4" t="n">
        <v>0.840932620536251</v>
      </c>
      <c r="C11" s="4" t="n">
        <v>0.126748063768755</v>
      </c>
      <c r="D11" s="4" t="n">
        <v>0</v>
      </c>
      <c r="E11" s="4" t="n">
        <v>0.04835153345102408</v>
      </c>
      <c r="F11" s="4" t="n">
        <v>0.1107158460127233</v>
      </c>
      <c r="G11" s="4" t="n">
        <v>0.01472666793022271</v>
      </c>
      <c r="H11" s="4" t="n">
        <v>0.09598917808250057</v>
      </c>
      <c r="I11" s="4">
        <f>README!$B$30/(README!$B$30+(1-README!$B$30)*C11)</f>
        <v/>
      </c>
      <c r="J11" s="4">
        <f>B11*I11</f>
        <v/>
      </c>
      <c r="K11" s="5">
        <f>B11+D11+E11+F11</f>
        <v/>
      </c>
    </row>
    <row r="12">
      <c r="A12" s="4" t="n">
        <v>0.175</v>
      </c>
      <c r="B12" s="4" t="n">
        <v>0.8276177551074213</v>
      </c>
      <c r="C12" s="4" t="n">
        <v>0.1428309072073147</v>
      </c>
      <c r="D12" s="4" t="n">
        <v>0</v>
      </c>
      <c r="E12" s="4" t="n">
        <v>0.04828116667900192</v>
      </c>
      <c r="F12" s="4" t="n">
        <v>0.1241010782135829</v>
      </c>
      <c r="G12" s="4" t="n">
        <v>0.01456518442030517</v>
      </c>
      <c r="H12" s="4" t="n">
        <v>0.1095358937932777</v>
      </c>
      <c r="I12" s="4">
        <f>README!$B$30/(README!$B$30+(1-README!$B$30)*C12)</f>
        <v/>
      </c>
      <c r="J12" s="4">
        <f>B12*I12</f>
        <v/>
      </c>
      <c r="K12" s="5">
        <f>B12+D12+E12+F12</f>
        <v/>
      </c>
    </row>
    <row r="13">
      <c r="A13" s="4" t="n">
        <v>0.2</v>
      </c>
      <c r="B13" s="4" t="n">
        <v>0.8147948483222668</v>
      </c>
      <c r="C13" s="4" t="n">
        <v>0.158403635031602</v>
      </c>
      <c r="D13" s="4" t="n">
        <v>0</v>
      </c>
      <c r="E13" s="4" t="n">
        <v>0.04827337471664006</v>
      </c>
      <c r="F13" s="4" t="n">
        <v>0.136931776961098</v>
      </c>
      <c r="G13" s="4" t="n">
        <v>0.01441101681452647</v>
      </c>
      <c r="H13" s="4" t="n">
        <v>0.1225207601465716</v>
      </c>
      <c r="I13" s="4">
        <f>README!$B$30/(README!$B$30+(1-README!$B$30)*C13)</f>
        <v/>
      </c>
      <c r="J13" s="4">
        <f>B13*I13</f>
        <v/>
      </c>
      <c r="K13" s="5">
        <f>B13+D13+E13+F13</f>
        <v/>
      </c>
    </row>
    <row r="14">
      <c r="A14" s="4" t="n">
        <v>0.225</v>
      </c>
      <c r="B14" s="4" t="n">
        <v>0.8024553209413741</v>
      </c>
      <c r="C14" s="4" t="n">
        <v>0.1734884537509317</v>
      </c>
      <c r="D14" s="4" t="n">
        <v>0</v>
      </c>
      <c r="E14" s="4" t="n">
        <v>0.04829336301226834</v>
      </c>
      <c r="F14" s="4" t="n">
        <v>0.1492513160463491</v>
      </c>
      <c r="G14" s="4" t="n">
        <v>0.01426403218524349</v>
      </c>
      <c r="H14" s="4" t="n">
        <v>0.1349872838611056</v>
      </c>
      <c r="I14" s="4">
        <f>README!$B$30/(README!$B$30+(1-README!$B$30)*C14)</f>
        <v/>
      </c>
      <c r="J14" s="4">
        <f>B14*I14</f>
        <v/>
      </c>
      <c r="K14" s="5">
        <f>B14+D14+E14+F14</f>
        <v/>
      </c>
    </row>
    <row r="15">
      <c r="A15" s="4" t="n">
        <v>0.25</v>
      </c>
      <c r="B15" s="4" t="n">
        <v>0.7905772733656278</v>
      </c>
      <c r="C15" s="4" t="n">
        <v>0.1881061474575104</v>
      </c>
      <c r="D15" s="4" t="n">
        <v>0</v>
      </c>
      <c r="E15" s="4" t="n">
        <v>0.04832531376300023</v>
      </c>
      <c r="F15" s="4" t="n">
        <v>0.1610974128713703</v>
      </c>
      <c r="G15" s="4" t="n">
        <v>0.01412387016812607</v>
      </c>
      <c r="H15" s="4" t="n">
        <v>0.1469735427032442</v>
      </c>
      <c r="I15" s="4">
        <f>README!$B$30/(README!$B$30+(1-README!$B$30)*C15)</f>
        <v/>
      </c>
      <c r="J15" s="4">
        <f>B15*I15</f>
        <v/>
      </c>
      <c r="K15" s="5">
        <f>B15+D15+E15+F15</f>
        <v/>
      </c>
    </row>
    <row r="16">
      <c r="A16" s="4" t="n">
        <v>0.275</v>
      </c>
      <c r="B16" s="4" t="n">
        <v>0.779134634001713</v>
      </c>
      <c r="C16" s="4" t="n">
        <v>0.2022762066563382</v>
      </c>
      <c r="D16" s="4" t="n">
        <v>0</v>
      </c>
      <c r="E16" s="4" t="n">
        <v>0.04836209195349345</v>
      </c>
      <c r="F16" s="4" t="n">
        <v>0.1725032740447926</v>
      </c>
      <c r="G16" s="4" t="n">
        <v>0.0139900995091978</v>
      </c>
      <c r="H16" s="4" t="n">
        <v>0.1585131745355948</v>
      </c>
      <c r="I16" s="4">
        <f>README!$B$30/(README!$B$30+(1-README!$B$30)*C16)</f>
        <v/>
      </c>
      <c r="J16" s="4">
        <f>B16*I16</f>
        <v/>
      </c>
      <c r="K16" s="5">
        <f>B16+D16+E16+F16</f>
        <v/>
      </c>
    </row>
    <row r="17">
      <c r="A17" s="4" t="n">
        <v>0.3</v>
      </c>
      <c r="B17" s="4" t="n">
        <v>0.768101041826317</v>
      </c>
      <c r="C17" s="4" t="n">
        <v>0.2160169412863131</v>
      </c>
      <c r="D17" s="4" t="n">
        <v>0</v>
      </c>
      <c r="E17" s="4" t="n">
        <v>0.04840052929315566</v>
      </c>
      <c r="F17" s="4" t="n">
        <v>0.1834984288805196</v>
      </c>
      <c r="G17" s="4" t="n">
        <v>0.01386228466831012</v>
      </c>
      <c r="H17" s="4" t="n">
        <v>0.1696361442122094</v>
      </c>
      <c r="I17" s="4">
        <f>README!$B$30/(README!$B$30+(1-README!$B$30)*C17)</f>
        <v/>
      </c>
      <c r="J17" s="4">
        <f>B17*I17</f>
        <v/>
      </c>
      <c r="K17" s="5">
        <f>B17+D17+E17+F17</f>
        <v/>
      </c>
    </row>
    <row r="18">
      <c r="A18" s="4" t="n">
        <v>0.325</v>
      </c>
      <c r="B18" s="4" t="n">
        <v>0.75745140235374</v>
      </c>
      <c r="C18" s="4" t="n">
        <v>0.2293455804051153</v>
      </c>
      <c r="D18" s="4" t="n">
        <v>0</v>
      </c>
      <c r="E18" s="4" t="n">
        <v>0.04843925584292365</v>
      </c>
      <c r="F18" s="4" t="n">
        <v>0.1941093418033439</v>
      </c>
      <c r="G18" s="4" t="n">
        <v>0.01374001253240968</v>
      </c>
      <c r="H18" s="4" t="n">
        <v>0.1803693292709343</v>
      </c>
      <c r="I18" s="4">
        <f>README!$B$30/(README!$B$30+(1-README!$B$30)*C18)</f>
        <v/>
      </c>
      <c r="J18" s="4">
        <f>B18*I18</f>
        <v/>
      </c>
      <c r="K18" s="5">
        <f>B18+D18+E18+F18</f>
        <v/>
      </c>
    </row>
    <row r="19">
      <c r="A19" s="4" t="n">
        <v>0.35</v>
      </c>
      <c r="B19" s="4" t="n">
        <v>0.7471624200403829</v>
      </c>
      <c r="C19" s="4" t="n">
        <v>0.2422783605463469</v>
      </c>
      <c r="D19" s="4" t="n">
        <v>0</v>
      </c>
      <c r="E19" s="4" t="n">
        <v>0.04847770582129086</v>
      </c>
      <c r="F19" s="4" t="n">
        <v>0.2043598741383346</v>
      </c>
      <c r="G19" s="4" t="n">
        <v>0.01362290151533365</v>
      </c>
      <c r="H19" s="4" t="n">
        <v>0.190736972623001</v>
      </c>
      <c r="I19" s="4">
        <f>README!$B$30/(README!$B$30+(1-README!$B$30)*C19)</f>
        <v/>
      </c>
      <c r="J19" s="4">
        <f>B19*I19</f>
        <v/>
      </c>
      <c r="K19" s="5">
        <f>B19+D19+E19+F19</f>
        <v/>
      </c>
    </row>
    <row r="20">
      <c r="A20" s="4" t="n">
        <v>0.375</v>
      </c>
      <c r="B20" s="4" t="n">
        <v>0.7372126911094919</v>
      </c>
      <c r="C20" s="4" t="n">
        <v>0.254830604393123</v>
      </c>
      <c r="D20" s="4" t="n">
        <v>0</v>
      </c>
      <c r="E20" s="4" t="n">
        <v>0.04851566539180245</v>
      </c>
      <c r="F20" s="4" t="n">
        <v>0.2142716434986982</v>
      </c>
      <c r="G20" s="4" t="n">
        <v>0.01351060306978945</v>
      </c>
      <c r="H20" s="4" t="n">
        <v>0.2007610404289088</v>
      </c>
      <c r="I20" s="4">
        <f>README!$B$30/(README!$B$30+(1-README!$B$30)*C20)</f>
        <v/>
      </c>
      <c r="J20" s="4">
        <f>B20*I20</f>
        <v/>
      </c>
      <c r="K20" s="5">
        <f>B20+D20+E20+F20</f>
        <v/>
      </c>
    </row>
    <row r="21">
      <c r="A21" s="4" t="n">
        <v>0.4</v>
      </c>
      <c r="B21" s="4" t="n">
        <v>0.7275826181973004</v>
      </c>
      <c r="C21" s="4" t="n">
        <v>0.2670167911241255</v>
      </c>
      <c r="D21" s="4" t="n">
        <v>0</v>
      </c>
      <c r="E21" s="4" t="n">
        <v>0.04855306974328712</v>
      </c>
      <c r="F21" s="4" t="n">
        <v>0.2238643120594148</v>
      </c>
      <c r="G21" s="4" t="n">
        <v>0.01340280011841092</v>
      </c>
      <c r="H21" s="4" t="n">
        <v>0.2104615119410039</v>
      </c>
      <c r="I21" s="4">
        <f>README!$B$30/(README!$B$30+(1-README!$B$30)*C21)</f>
        <v/>
      </c>
      <c r="J21" s="4">
        <f>B21*I21</f>
        <v/>
      </c>
      <c r="K21" s="5">
        <f>B21+D21+E21+F21</f>
        <v/>
      </c>
    </row>
    <row r="22">
      <c r="A22" s="4" t="n">
        <v>0.425</v>
      </c>
      <c r="B22" s="4" t="n">
        <v>0.7182542623666024</v>
      </c>
      <c r="C22" s="4" t="n">
        <v>0.2788506195580358</v>
      </c>
      <c r="D22" s="4" t="n">
        <v>0</v>
      </c>
      <c r="E22" s="4" t="n">
        <v>0.04858991391804075</v>
      </c>
      <c r="F22" s="4" t="n">
        <v>0.2331558237153514</v>
      </c>
      <c r="G22" s="4" t="n">
        <v>0.01329920440418665</v>
      </c>
      <c r="H22" s="4" t="n">
        <v>0.2198566193111647</v>
      </c>
      <c r="I22" s="4">
        <f>README!$B$30/(README!$B$30+(1-README!$B$30)*C22)</f>
        <v/>
      </c>
      <c r="J22" s="4">
        <f>B22*I22</f>
        <v/>
      </c>
      <c r="K22" s="5">
        <f>B22+D22+E22+F22</f>
        <v/>
      </c>
    </row>
    <row r="23">
      <c r="A23" s="4" t="n">
        <v>0.45</v>
      </c>
      <c r="B23" s="4" t="n">
        <v>0.7092111821056544</v>
      </c>
      <c r="C23" s="4" t="n">
        <v>0.2903450650376002</v>
      </c>
      <c r="D23" s="4" t="n">
        <v>0</v>
      </c>
      <c r="E23" s="4" t="n">
        <v>0.04862621485585118</v>
      </c>
      <c r="F23" s="4" t="n">
        <v>0.2421626030384988</v>
      </c>
      <c r="G23" s="4" t="n">
        <v>0.01319955362269518</v>
      </c>
      <c r="H23" s="4" t="n">
        <v>0.2289630494158036</v>
      </c>
      <c r="I23" s="4">
        <f>README!$B$30/(README!$B$30+(1-README!$B$30)*C23)</f>
        <v/>
      </c>
      <c r="J23" s="4">
        <f>B23*I23</f>
        <v/>
      </c>
      <c r="K23" s="5">
        <f>B23+D23+E23+F23</f>
        <v/>
      </c>
    </row>
    <row r="24">
      <c r="A24" s="4" t="n">
        <v>0.475</v>
      </c>
      <c r="B24" s="4" t="n">
        <v>0.7004382793550731</v>
      </c>
      <c r="C24" s="4" t="n">
        <v>0.3015124308448778</v>
      </c>
      <c r="D24" s="4" t="n">
        <v>0</v>
      </c>
      <c r="E24" s="4" t="n">
        <v>0.04866199603173748</v>
      </c>
      <c r="F24" s="4" t="n">
        <v>0.2508997246131932</v>
      </c>
      <c r="G24" s="4" t="n">
        <v>0.01310360868529967</v>
      </c>
      <c r="H24" s="4" t="n">
        <v>0.2377961159278935</v>
      </c>
      <c r="I24" s="4">
        <f>README!$B$30/(README!$B$30+(1-README!$B$30)*C24)</f>
        <v/>
      </c>
      <c r="J24" s="4">
        <f>B24*I24</f>
        <v/>
      </c>
      <c r="K24" s="5">
        <f>B24+D24+E24+F24</f>
        <v/>
      </c>
    </row>
    <row r="25">
      <c r="A25" s="4" t="n">
        <v>0.5</v>
      </c>
      <c r="B25" s="4" t="n">
        <v>0.6919216595667069</v>
      </c>
      <c r="C25" s="4" t="n">
        <v>0.3123643948173057</v>
      </c>
      <c r="D25" s="4" t="n">
        <v>0</v>
      </c>
      <c r="E25" s="4" t="n">
        <v>0.04869728175410649</v>
      </c>
      <c r="F25" s="4" t="n">
        <v>0.2593810586791883</v>
      </c>
      <c r="G25" s="4" t="n">
        <v>0.01301115123551187</v>
      </c>
      <c r="H25" s="4" t="n">
        <v>0.2463699074436764</v>
      </c>
      <c r="I25" s="4">
        <f>README!$B$30/(README!$B$30+(1-README!$B$30)*C25)</f>
        <v/>
      </c>
      <c r="J25" s="4">
        <f>B25*I25</f>
        <v/>
      </c>
      <c r="K25" s="5">
        <f>B25+D25+E25+F25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2026-09-20T19:48:21Z</dcterms:created>
  <dcterms:modified xmlns:dcterms="http://purl.org/dc/terms/" xmlns:xsi="http://www.w3.org/2001/XMLSchema-instance" xsi:type="dcterms:W3CDTF">2026-09-20T19:48:22Z</dcterms:modified>
</cp:coreProperties>
</file>