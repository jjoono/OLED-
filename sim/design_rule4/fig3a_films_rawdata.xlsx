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04" customWidth="1" min="2" max="2"/>
  </cols>
  <sheetData>
    <row r="1">
      <c r="A1" s="1" t="inlineStr">
        <is>
          <t>Fig. 3(a) panel (c) — every electrode in the library on one stack</t>
        </is>
      </c>
    </row>
    <row r="2">
      <c r="A2" s="2" t="inlineStr">
        <is>
          <t>Each row is a film measured by ellipsometry in this group, taken at 550 nm and run on the same device</t>
        </is>
      </c>
    </row>
    <row r="4">
      <c r="A4" s="2" t="inlineStr">
        <is>
          <t>Stack</t>
        </is>
      </c>
    </row>
    <row r="5">
      <c r="A5" s="2" t="inlineStr">
        <is>
          <t>Common part</t>
        </is>
      </c>
      <c r="B5" t="inlineStr">
        <is>
          <t>Ag 100 nm (McPeak, fixed) / ETL 200 nm / EML 20 nm / HTL 200 nm / [this electrode] / substrate n = 1.80</t>
        </is>
      </c>
    </row>
    <row r="6">
      <c r="A6" s="2" t="inlineStr">
        <is>
          <t>TCO films</t>
        </is>
      </c>
      <c r="B6" t="inlineStr">
        <is>
          <t>50 nm thick, the thinnest layer that still carries the current</t>
        </is>
      </c>
    </row>
    <row r="7">
      <c r="A7" s="2" t="inlineStr">
        <is>
          <t>thin Ag films</t>
        </is>
      </c>
      <c r="B7" t="inlineStr">
        <is>
          <t>10 nm thick</t>
        </is>
      </c>
    </row>
    <row r="8">
      <c r="A8" s="2" t="inlineStr">
        <is>
          <t>Settings</t>
        </is>
      </c>
      <c r="B8" t="inlineStr">
        <is>
          <t>550 nm, isotropic dipole, PLQY = 1, organics isotropic n = 1.8 with k = 0, u grid 3000, p = 0.30</t>
        </is>
      </c>
    </row>
    <row r="9">
      <c r="A9" s="2" t="inlineStr">
        <is>
          <t>Optical constants</t>
        </is>
      </c>
      <c r="B9" t="inlineStr">
        <is>
          <t>read from nk_JH_total.mat at 550 nm; the film names are the entry names in that file</t>
        </is>
      </c>
    </row>
    <row r="11">
      <c r="A11" s="2" t="inlineStr">
        <is>
          <t>Columns</t>
        </is>
      </c>
    </row>
    <row r="12">
      <c r="A12" s="2" t="inlineStr">
        <is>
          <t>n, k</t>
        </is>
      </c>
      <c r="B12" t="inlineStr">
        <is>
          <t>the measured optical constants of the electrode at 550 nm</t>
        </is>
      </c>
    </row>
    <row r="13">
      <c r="A13" s="2" t="inlineStr">
        <is>
          <t>eta_sub</t>
        </is>
      </c>
      <c r="B13" t="inlineStr">
        <is>
          <t>substrate-delivered power</t>
        </is>
      </c>
    </row>
    <row r="14">
      <c r="A14" s="2" t="inlineStr">
        <is>
          <t>A'</t>
        </is>
      </c>
      <c r="B14" t="inlineStr">
        <is>
          <t>round-trip loss</t>
        </is>
      </c>
    </row>
    <row r="15">
      <c r="A15" s="2" t="inlineStr">
        <is>
          <t>absorbed in the electrode</t>
        </is>
      </c>
      <c r="B15" t="inlineStr">
        <is>
          <t>the part of the dipole power dissipated in this electrode alone — the x axis of the panel</t>
        </is>
      </c>
    </row>
    <row r="16">
      <c r="A16" s="2" t="inlineStr">
        <is>
          <t>absorbed in the reflector</t>
        </is>
      </c>
      <c r="B16" t="inlineStr">
        <is>
          <t>the same for the 100 nm Ag mirror, which is common to every row</t>
        </is>
      </c>
    </row>
    <row r="17">
      <c r="A17" s="2" t="inlineStr">
        <is>
          <t>eta_ext, EQE</t>
        </is>
      </c>
      <c r="B17" t="inlineStr">
        <is>
          <t>formulas driven by the p cell below</t>
        </is>
      </c>
    </row>
    <row r="19">
      <c r="A19" s="2" t="inlineStr">
        <is>
          <t>Input</t>
        </is>
      </c>
    </row>
    <row r="20">
      <c r="A20" s="2" t="inlineStr">
        <is>
          <t>p</t>
        </is>
      </c>
      <c r="B20" s="3" t="n">
        <v>0.3</v>
      </c>
    </row>
    <row r="22">
      <c r="A22" s="2" t="inlineStr">
        <is>
          <t>Provenance</t>
        </is>
      </c>
    </row>
    <row r="23">
      <c r="A23" s="2" t="inlineStr">
        <is>
          <t>Script</t>
        </is>
      </c>
      <c r="B23" t="inlineStr">
        <is>
          <t>sim/design_rule4/dr4e.m, one run per film; collected by the shell loop recorded in the README</t>
        </is>
      </c>
    </row>
    <row r="24">
      <c r="A24" s="2" t="inlineStr">
        <is>
          <t>Figure</t>
        </is>
      </c>
      <c r="B24" t="inlineStr">
        <is>
          <t>sim/design_rule4/plot_dr4e.py, panel (c); standalone version plot_fig3a_c.py</t>
        </is>
      </c>
    </row>
    <row r="25">
      <c r="A25" s="2" t="inlineStr">
        <is>
          <t>Repository</t>
        </is>
      </c>
      <c r="B25" t="inlineStr">
        <is>
          <t>jjoono/OLED-, branch claude/oled-efficiency-paper-ag-955zsk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14" customWidth="1" min="12" max="12"/>
    <col width="14" customWidth="1" min="13" max="13"/>
  </cols>
  <sheetData>
    <row r="1">
      <c r="A1" s="2" t="inlineStr">
        <is>
          <t>film (library entry)</t>
        </is>
      </c>
      <c r="B1" s="2" t="inlineStr">
        <is>
          <t>family</t>
        </is>
      </c>
      <c r="C1" s="2" t="inlineStr">
        <is>
          <t>n at 550 nm</t>
        </is>
      </c>
      <c r="D1" s="2" t="inlineStr">
        <is>
          <t>k at 550 nm</t>
        </is>
      </c>
      <c r="E1" s="2" t="inlineStr">
        <is>
          <t>eta_sub</t>
        </is>
      </c>
      <c r="F1" s="2" t="inlineStr">
        <is>
          <t>A'</t>
        </is>
      </c>
      <c r="G1" s="2" t="inlineStr">
        <is>
          <t>waveguided</t>
        </is>
      </c>
      <c r="H1" s="2" t="inlineStr">
        <is>
          <t>u&gt;1</t>
        </is>
      </c>
      <c r="I1" s="2" t="inlineStr">
        <is>
          <t>absorbed, total</t>
        </is>
      </c>
      <c r="J1" s="2" t="inlineStr">
        <is>
          <t>absorbed in the reflector</t>
        </is>
      </c>
      <c r="K1" s="2" t="inlineStr">
        <is>
          <t>absorbed in the electrode</t>
        </is>
      </c>
      <c r="L1" s="2" t="inlineStr">
        <is>
          <t>eta_ext</t>
        </is>
      </c>
      <c r="M1" s="2" t="inlineStr">
        <is>
          <t>EQE</t>
        </is>
      </c>
    </row>
    <row r="2">
      <c r="A2" t="inlineStr">
        <is>
          <t>IZO</t>
        </is>
      </c>
      <c r="B2" t="inlineStr">
        <is>
          <t>TCO 50 nm</t>
        </is>
      </c>
      <c r="C2" s="4" t="n">
        <v>2.062</v>
      </c>
      <c r="D2" s="4" t="n">
        <v>0.0012</v>
      </c>
      <c r="E2" s="4" t="n">
        <v>0.911398190169405</v>
      </c>
      <c r="F2" s="4" t="n">
        <v>0.01984579598682901</v>
      </c>
      <c r="G2" s="4" t="n">
        <v>0</v>
      </c>
      <c r="H2" s="4" t="n">
        <v>0.07916516333566465</v>
      </c>
      <c r="I2" s="4" t="n">
        <v>0.009436646494935603</v>
      </c>
      <c r="J2" s="4" t="n">
        <v>0.006998897148881437</v>
      </c>
      <c r="K2" s="4" t="n">
        <v>0.002437749346054166</v>
      </c>
      <c r="L2" s="4">
        <f>README!$B$20/(README!$B$20+(1-README!$B$20)*F2)</f>
        <v/>
      </c>
      <c r="M2" s="4">
        <f>E2*L2</f>
        <v/>
      </c>
    </row>
    <row r="3">
      <c r="A3" t="inlineStr">
        <is>
          <t>ITO_SNU</t>
        </is>
      </c>
      <c r="B3" t="inlineStr">
        <is>
          <t>TCO 50 nm</t>
        </is>
      </c>
      <c r="C3" s="4" t="n">
        <v>1.998</v>
      </c>
      <c r="D3" s="4" t="n">
        <v>0.0013</v>
      </c>
      <c r="E3" s="4" t="n">
        <v>0.894635430621483</v>
      </c>
      <c r="F3" s="4" t="n">
        <v>0.02080531968550414</v>
      </c>
      <c r="G3" s="4" t="n">
        <v>0</v>
      </c>
      <c r="H3" s="4" t="n">
        <v>0.09599370197495095</v>
      </c>
      <c r="I3" s="4" t="n">
        <v>0.00937086740356154</v>
      </c>
      <c r="J3" s="4" t="n">
        <v>0.006612967820536191</v>
      </c>
      <c r="K3" s="4" t="n">
        <v>0.002757899583025349</v>
      </c>
      <c r="L3" s="4">
        <f>README!$B$20/(README!$B$20+(1-README!$B$20)*F3)</f>
        <v/>
      </c>
      <c r="M3" s="4">
        <f>E3*L3</f>
        <v/>
      </c>
    </row>
    <row r="4">
      <c r="A4" t="inlineStr">
        <is>
          <t>IZO_SJ_RTP</t>
        </is>
      </c>
      <c r="B4" t="inlineStr">
        <is>
          <t>TCO 50 nm</t>
        </is>
      </c>
      <c r="C4" s="4" t="n">
        <v>2.04</v>
      </c>
      <c r="D4" s="4" t="n">
        <v>0.0034</v>
      </c>
      <c r="E4" s="4" t="n">
        <v>0.9003680241315637</v>
      </c>
      <c r="F4" s="4" t="n">
        <v>0.02723021781679391</v>
      </c>
      <c r="G4" s="4" t="n">
        <v>0</v>
      </c>
      <c r="H4" s="4" t="n">
        <v>0.08584256805235345</v>
      </c>
      <c r="I4" s="4" t="n">
        <v>0.01378940781608406</v>
      </c>
      <c r="J4" s="4" t="n">
        <v>0.006853735446989175</v>
      </c>
      <c r="K4" s="4" t="n">
        <v>0.00693567236909489</v>
      </c>
      <c r="L4" s="4">
        <f>README!$B$20/(README!$B$20+(1-README!$B$20)*F4)</f>
        <v/>
      </c>
      <c r="M4" s="4">
        <f>E4*L4</f>
        <v/>
      </c>
    </row>
    <row r="5">
      <c r="A5" t="inlineStr">
        <is>
          <t>l_ITO</t>
        </is>
      </c>
      <c r="B5" t="inlineStr">
        <is>
          <t>TCO 50 nm</t>
        </is>
      </c>
      <c r="C5" s="4" t="n">
        <v>1.864</v>
      </c>
      <c r="D5" s="4" t="n">
        <v>0.0032</v>
      </c>
      <c r="E5" s="4" t="n">
        <v>0.9564775185942338</v>
      </c>
      <c r="F5" s="4" t="n">
        <v>0.03088842833171179</v>
      </c>
      <c r="G5" s="4" t="n">
        <v>0</v>
      </c>
      <c r="H5" s="4" t="n">
        <v>0.02784646211687854</v>
      </c>
      <c r="I5" s="4" t="n">
        <v>0.01567601928888919</v>
      </c>
      <c r="J5" s="4" t="n">
        <v>0.006804046575498368</v>
      </c>
      <c r="K5" s="4" t="n">
        <v>0.008871972713390826</v>
      </c>
      <c r="L5" s="4">
        <f>README!$B$20/(README!$B$20+(1-README!$B$20)*F5)</f>
        <v/>
      </c>
      <c r="M5" s="4">
        <f>E5*L5</f>
        <v/>
      </c>
    </row>
    <row r="6">
      <c r="A6" t="inlineStr">
        <is>
          <t>ITO_test</t>
        </is>
      </c>
      <c r="B6" t="inlineStr">
        <is>
          <t>TCO 50 nm</t>
        </is>
      </c>
      <c r="C6" s="4" t="n">
        <v>1.827</v>
      </c>
      <c r="D6" s="4" t="n">
        <v>0.0038</v>
      </c>
      <c r="E6" s="4" t="n">
        <v>0.9555491776088718</v>
      </c>
      <c r="F6" s="4" t="n">
        <v>0.03336207371100619</v>
      </c>
      <c r="G6" s="4" t="n">
        <v>0</v>
      </c>
      <c r="H6" s="4" t="n">
        <v>0.02746751142807022</v>
      </c>
      <c r="I6" s="4" t="n">
        <v>0.01698331096305866</v>
      </c>
      <c r="J6" s="4" t="n">
        <v>0.006846871778273568</v>
      </c>
      <c r="K6" s="4" t="n">
        <v>0.01013643918478509</v>
      </c>
      <c r="L6" s="4">
        <f>README!$B$20/(README!$B$20+(1-README!$B$20)*F6)</f>
        <v/>
      </c>
      <c r="M6" s="4">
        <f>E6*L6</f>
        <v/>
      </c>
    </row>
    <row r="7">
      <c r="A7" t="inlineStr">
        <is>
          <t>l_IZO</t>
        </is>
      </c>
      <c r="B7" t="inlineStr">
        <is>
          <t>TCO 50 nm</t>
        </is>
      </c>
      <c r="C7" s="4" t="n">
        <v>2.044</v>
      </c>
      <c r="D7" s="4" t="n">
        <v>0.0053</v>
      </c>
      <c r="E7" s="4" t="n">
        <v>0.8953796499135769</v>
      </c>
      <c r="F7" s="4" t="n">
        <v>0.03328464602507397</v>
      </c>
      <c r="G7" s="4" t="n">
        <v>0</v>
      </c>
      <c r="H7" s="4" t="n">
        <v>0.08704348693750619</v>
      </c>
      <c r="I7" s="4" t="n">
        <v>0.01757686314891545</v>
      </c>
      <c r="J7" s="4" t="n">
        <v>0.006860548817690632</v>
      </c>
      <c r="K7" s="4" t="n">
        <v>0.01071631433122482</v>
      </c>
      <c r="L7" s="4">
        <f>README!$B$20/(README!$B$20+(1-README!$B$20)*F7)</f>
        <v/>
      </c>
      <c r="M7" s="4">
        <f>E7*L7</f>
        <v/>
      </c>
    </row>
    <row r="8">
      <c r="A8" t="inlineStr">
        <is>
          <t>ITO</t>
        </is>
      </c>
      <c r="B8" t="inlineStr">
        <is>
          <t>TCO 50 nm</t>
        </is>
      </c>
      <c r="C8" s="4" t="n">
        <v>1.809</v>
      </c>
      <c r="D8" s="4" t="n">
        <v>0.0045</v>
      </c>
      <c r="E8" s="4" t="n">
        <v>0.9538735450066225</v>
      </c>
      <c r="F8" s="4" t="n">
        <v>0.03625850867895686</v>
      </c>
      <c r="G8" s="4" t="n">
        <v>0</v>
      </c>
      <c r="H8" s="4" t="n">
        <v>0.02739511787168815</v>
      </c>
      <c r="I8" s="4" t="n">
        <v>0.01873133712169116</v>
      </c>
      <c r="J8" s="4" t="n">
        <v>0.006879220577341548</v>
      </c>
      <c r="K8" s="4" t="n">
        <v>0.01185211654434962</v>
      </c>
      <c r="L8" s="4">
        <f>README!$B$20/(README!$B$20+(1-README!$B$20)*F8)</f>
        <v/>
      </c>
      <c r="M8" s="4">
        <f>E8*L8</f>
        <v/>
      </c>
    </row>
    <row r="9">
      <c r="A9" t="inlineStr">
        <is>
          <t>IZO_NIR</t>
        </is>
      </c>
      <c r="B9" t="inlineStr">
        <is>
          <t>TCO 50 nm</t>
        </is>
      </c>
      <c r="C9" s="4" t="n">
        <v>1.921</v>
      </c>
      <c r="D9" s="4" t="n">
        <v>0.0128</v>
      </c>
      <c r="E9" s="4" t="n">
        <v>0.9156011036354434</v>
      </c>
      <c r="F9" s="4" t="n">
        <v>0.06707640136617266</v>
      </c>
      <c r="G9" s="4" t="n">
        <v>0</v>
      </c>
      <c r="H9" s="4" t="n">
        <v>0.04628678219673676</v>
      </c>
      <c r="I9" s="4" t="n">
        <v>0.03811211416780805</v>
      </c>
      <c r="J9" s="4" t="n">
        <v>0.006762864198546585</v>
      </c>
      <c r="K9" s="4" t="n">
        <v>0.03134924996926146</v>
      </c>
      <c r="L9" s="4">
        <f>README!$B$20/(README!$B$20+(1-README!$B$20)*F9)</f>
        <v/>
      </c>
      <c r="M9" s="4">
        <f>E9*L9</f>
        <v/>
      </c>
    </row>
    <row r="10">
      <c r="A10" t="inlineStr">
        <is>
          <t>etri_ITO</t>
        </is>
      </c>
      <c r="B10" t="inlineStr">
        <is>
          <t>TCO 50 nm</t>
        </is>
      </c>
      <c r="C10" s="4" t="n">
        <v>1.922</v>
      </c>
      <c r="D10" s="4" t="n">
        <v>0.0481</v>
      </c>
      <c r="E10" s="4" t="n">
        <v>0.8431835985190685</v>
      </c>
      <c r="F10" s="4" t="n">
        <v>0.1783394932135122</v>
      </c>
      <c r="G10" s="4" t="n">
        <v>0</v>
      </c>
      <c r="H10" s="4" t="n">
        <v>0.04865952431990048</v>
      </c>
      <c r="I10" s="4" t="n">
        <v>0.1081568771610256</v>
      </c>
      <c r="J10" s="4" t="n">
        <v>0.006806893850424885</v>
      </c>
      <c r="K10" s="4" t="n">
        <v>0.1013499833106007</v>
      </c>
      <c r="L10" s="4">
        <f>README!$B$20/(README!$B$20+(1-README!$B$20)*F10)</f>
        <v/>
      </c>
      <c r="M10" s="4">
        <f>E10*L10</f>
        <v/>
      </c>
    </row>
    <row r="11">
      <c r="A11" t="inlineStr">
        <is>
          <t>ThinAg_ETRI</t>
        </is>
      </c>
      <c r="B11" t="inlineStr">
        <is>
          <t>thin Ag 10 nm</t>
        </is>
      </c>
      <c r="C11" s="4" t="n">
        <v>0.053</v>
      </c>
      <c r="D11" s="4" t="n">
        <v>2.712</v>
      </c>
      <c r="E11" s="4" t="n">
        <v>0.9077325431509047</v>
      </c>
      <c r="F11" s="4" t="n">
        <v>0.05579542872428167</v>
      </c>
      <c r="G11" s="4" t="n">
        <v>0</v>
      </c>
      <c r="H11" s="4" t="n">
        <v>0.05355348599014804</v>
      </c>
      <c r="I11" s="4" t="n">
        <v>0.03871397085894895</v>
      </c>
      <c r="J11" s="4" t="n">
        <v>0.01048539724112124</v>
      </c>
      <c r="K11" s="4" t="n">
        <v>0.02822857361782771</v>
      </c>
      <c r="L11" s="4">
        <f>README!$B$20/(README!$B$20+(1-README!$B$20)*F11)</f>
        <v/>
      </c>
      <c r="M11" s="4">
        <f>E11*L11</f>
        <v/>
      </c>
    </row>
    <row r="12">
      <c r="A12" t="inlineStr">
        <is>
          <t>Ag_bulk</t>
        </is>
      </c>
      <c r="B12" t="inlineStr">
        <is>
          <t>thin Ag 10 nm</t>
        </is>
      </c>
      <c r="C12" s="4" t="n">
        <v>0.044</v>
      </c>
      <c r="D12" s="4" t="n">
        <v>3.819</v>
      </c>
      <c r="E12" s="4" t="n">
        <v>0.8991883211762449</v>
      </c>
      <c r="F12" s="4" t="n">
        <v>0.05230634950683866</v>
      </c>
      <c r="G12" s="4" t="n">
        <v>0</v>
      </c>
      <c r="H12" s="4" t="n">
        <v>0.05436034053927367</v>
      </c>
      <c r="I12" s="4" t="n">
        <v>0.0464513382844857</v>
      </c>
      <c r="J12" s="4" t="n">
        <v>0.01543000728992442</v>
      </c>
      <c r="K12" s="4" t="n">
        <v>0.03102133099456128</v>
      </c>
      <c r="L12" s="4">
        <f>README!$B$20/(README!$B$20+(1-README!$B$20)*F12)</f>
        <v/>
      </c>
      <c r="M12" s="4">
        <f>E12*L12</f>
        <v/>
      </c>
    </row>
    <row r="13">
      <c r="A13" t="inlineStr">
        <is>
          <t>Ag_JHS</t>
        </is>
      </c>
      <c r="B13" t="inlineStr">
        <is>
          <t>thin Ag 10 nm</t>
        </is>
      </c>
      <c r="C13" s="4" t="n">
        <v>0.08500000000000001</v>
      </c>
      <c r="D13" s="4" t="n">
        <v>3.458</v>
      </c>
      <c r="E13" s="4" t="n">
        <v>0.8834468270234689</v>
      </c>
      <c r="F13" s="4" t="n">
        <v>0.08173203354428715</v>
      </c>
      <c r="G13" s="4" t="n">
        <v>0</v>
      </c>
      <c r="H13" s="4" t="n">
        <v>0.05022018936197888</v>
      </c>
      <c r="I13" s="4" t="n">
        <v>0.06633298361455339</v>
      </c>
      <c r="J13" s="4" t="n">
        <v>0.0131763662040041</v>
      </c>
      <c r="K13" s="4" t="n">
        <v>0.05315661741054929</v>
      </c>
      <c r="L13" s="4">
        <f>README!$B$20/(README!$B$20+(1-README!$B$20)*F13)</f>
        <v/>
      </c>
      <c r="M13" s="4">
        <f>E13*L13</f>
        <v/>
      </c>
    </row>
    <row r="14">
      <c r="A14" t="inlineStr">
        <is>
          <t>Ag_12nm</t>
        </is>
      </c>
      <c r="B14" t="inlineStr">
        <is>
          <t>thin Ag 10 nm</t>
        </is>
      </c>
      <c r="C14" s="4" t="n">
        <v>0.092</v>
      </c>
      <c r="D14" s="4" t="n">
        <v>3.707</v>
      </c>
      <c r="E14" s="4" t="n">
        <v>0.8773793628796972</v>
      </c>
      <c r="F14" s="4" t="n">
        <v>0.08723826007933588</v>
      </c>
      <c r="G14" s="4" t="n">
        <v>0</v>
      </c>
      <c r="H14" s="4" t="n">
        <v>0.04743387765449564</v>
      </c>
      <c r="I14" s="4" t="n">
        <v>0.07518675946580491</v>
      </c>
      <c r="J14" s="4" t="n">
        <v>0.01448840560521377</v>
      </c>
      <c r="K14" s="4" t="n">
        <v>0.06069835386059115</v>
      </c>
      <c r="L14" s="4">
        <f>README!$B$20/(README!$B$20+(1-README!$B$20)*F14)</f>
        <v/>
      </c>
      <c r="M14" s="4">
        <f>E14*L14</f>
        <v/>
      </c>
    </row>
    <row r="15">
      <c r="A15" t="inlineStr">
        <is>
          <t>Ag_15nm</t>
        </is>
      </c>
      <c r="B15" t="inlineStr">
        <is>
          <t>thin Ag 10 nm</t>
        </is>
      </c>
      <c r="C15" s="4" t="n">
        <v>0.136</v>
      </c>
      <c r="D15" s="4" t="n">
        <v>2.715</v>
      </c>
      <c r="E15" s="4" t="n">
        <v>0.8682989400032578</v>
      </c>
      <c r="F15" s="4" t="n">
        <v>0.1113313783235295</v>
      </c>
      <c r="G15" s="4" t="n">
        <v>0</v>
      </c>
      <c r="H15" s="4" t="n">
        <v>0.05312073603847599</v>
      </c>
      <c r="I15" s="4" t="n">
        <v>0.07858032395826675</v>
      </c>
      <c r="J15" s="4" t="n">
        <v>0.01030301101956081</v>
      </c>
      <c r="K15" s="4" t="n">
        <v>0.06827731293870594</v>
      </c>
      <c r="L15" s="4">
        <f>README!$B$20/(README!$B$20+(1-README!$B$20)*F15)</f>
        <v/>
      </c>
      <c r="M15" s="4">
        <f>E15*L15</f>
        <v/>
      </c>
    </row>
    <row r="16">
      <c r="A16" t="inlineStr">
        <is>
          <t>Ag_15_onHATCN</t>
        </is>
      </c>
      <c r="B16" t="inlineStr">
        <is>
          <t>thin Ag 10 nm</t>
        </is>
      </c>
      <c r="C16" s="4" t="n">
        <v>0.146</v>
      </c>
      <c r="D16" s="4" t="n">
        <v>3.259</v>
      </c>
      <c r="E16" s="4" t="n">
        <v>0.854745263980772</v>
      </c>
      <c r="F16" s="4" t="n">
        <v>0.1223420871703426</v>
      </c>
      <c r="G16" s="4" t="n">
        <v>0</v>
      </c>
      <c r="H16" s="4" t="n">
        <v>0.05045657803540965</v>
      </c>
      <c r="I16" s="4" t="n">
        <v>0.09479815798382001</v>
      </c>
      <c r="J16" s="4" t="n">
        <v>0.01202860931783672</v>
      </c>
      <c r="K16" s="4" t="n">
        <v>0.08276954866598329</v>
      </c>
      <c r="L16" s="4">
        <f>README!$B$20/(README!$B$20+(1-README!$B$20)*F16)</f>
        <v/>
      </c>
      <c r="M16" s="4">
        <f>E16*L16</f>
        <v/>
      </c>
    </row>
    <row r="17">
      <c r="A17" t="inlineStr">
        <is>
          <t>Ag_EHK</t>
        </is>
      </c>
      <c r="B17" t="inlineStr">
        <is>
          <t>thin Ag 10 nm</t>
        </is>
      </c>
      <c r="C17" s="4" t="n">
        <v>0.282</v>
      </c>
      <c r="D17" s="4" t="n">
        <v>3.136</v>
      </c>
      <c r="E17" s="4" t="n">
        <v>0.7971099905025409</v>
      </c>
      <c r="F17" s="4" t="n">
        <v>0.2030127445114845</v>
      </c>
      <c r="G17" s="4" t="n">
        <v>0</v>
      </c>
      <c r="H17" s="4" t="n">
        <v>0.05088746861924073</v>
      </c>
      <c r="I17" s="4" t="n">
        <v>0.1520025408782235</v>
      </c>
      <c r="J17" s="4" t="n">
        <v>0.01115240761835892</v>
      </c>
      <c r="K17" s="4" t="n">
        <v>0.1408501332598646</v>
      </c>
      <c r="L17" s="4">
        <f>README!$B$20/(README!$B$20+(1-README!$B$20)*F17)</f>
        <v/>
      </c>
      <c r="M17" s="4">
        <f>E17*L17</f>
        <v/>
      </c>
    </row>
    <row r="18">
      <c r="A18" t="inlineStr">
        <is>
          <t>Ag_SNU</t>
        </is>
      </c>
      <c r="B18" t="inlineStr">
        <is>
          <t>thin Ag 10 nm</t>
        </is>
      </c>
      <c r="C18" s="4" t="n">
        <v>0.532</v>
      </c>
      <c r="D18" s="4" t="n">
        <v>3.483</v>
      </c>
      <c r="E18" s="4" t="n">
        <v>0.6958708838093871</v>
      </c>
      <c r="F18" s="4" t="n">
        <v>0.3264419550142754</v>
      </c>
      <c r="G18" s="4" t="n">
        <v>0</v>
      </c>
      <c r="H18" s="4" t="n">
        <v>0.04963773782476961</v>
      </c>
      <c r="I18" s="4" t="n">
        <v>0.2544913783658395</v>
      </c>
      <c r="J18" s="4" t="n">
        <v>0.01162973557598674</v>
      </c>
      <c r="K18" s="4" t="n">
        <v>0.2428616427898528</v>
      </c>
      <c r="L18" s="4">
        <f>README!$B$20/(README!$B$20+(1-README!$B$20)*F18)</f>
        <v/>
      </c>
      <c r="M18" s="4">
        <f>E18*L18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2026-09-20T21:09:06Z</dcterms:created>
  <dcterms:modified xmlns:dcterms="http://purl.org/dc/terms/" xmlns:xsi="http://www.w3.org/2001/XMLSchema-instance" xsi:type="dcterms:W3CDTF">2026-09-20T21:09:06Z</dcterms:modified>
</cp:coreProperties>
</file>