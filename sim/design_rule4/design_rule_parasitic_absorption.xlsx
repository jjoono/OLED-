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_TCO_electrode" sheetId="2" state="visible" r:id="rId4"/>
    <sheet name="b_thin_Ag_electrode" sheetId="3" state="visible" r:id="rId5"/>
    <sheet name="c_p_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<sst xmlns="http://schemas.openxmlformats.org/spreadsheetml/2006/main" count="76" uniqueCount="63">
  <si>
    <t xml:space="preserve">Design rule: parasitic absorption sets the substrate-to-air extraction efficiency</t>
  </si>
  <si>
    <t xml:space="preserve">Raw data behind the three panels of dr4e_mock.png</t>
  </si>
  <si>
    <t xml:space="preserve">What this is</t>
  </si>
  <si>
    <t xml:space="preserve">Model</t>
  </si>
  <si>
    <t xml:space="preserve">Dipole transfer-matrix (CPS) with the five-channel power budget: air + substrate-confined + waveguided + u&gt;1 + absorption = 1</t>
  </si>
  <si>
    <t xml:space="preserve">Wavelength</t>
  </si>
  <si>
    <t xml:space="preserve">550 nm, single wavelength</t>
  </si>
  <si>
    <t xml:space="preserve">Emitter</t>
  </si>
  <si>
    <t xml:space="preserve">Isotropic dipole (horizontal fraction 2/3) at the centre of the EML; photoluminescence quantum yield = 1</t>
  </si>
  <si>
    <t xml:space="preserve">u grid</t>
  </si>
  <si>
    <t xml:space="preserve">3000 points, maximum u = 3; five-channel closure better than 1e-6</t>
  </si>
  <si>
    <t xml:space="preserve">Stacks — two alternative devices, not one</t>
  </si>
  <si>
    <t xml:space="preserve">Common part</t>
  </si>
  <si>
    <t xml:space="preserve">Ag 100 nm (McPeak measured n,k = 0.044 + 3.819i, never swept) / ETL 200 nm / EML 20 nm / HTL 200 nm / [bottom electrode] / substrate</t>
  </si>
  <si>
    <t xml:space="preserve">Device A (sheet a)</t>
  </si>
  <si>
    <t xml:space="preserve">Bottom electrode = transparent conducting oxide, 50 nm, n = 1.9 + k_TCO i;  k_TCO is swept</t>
  </si>
  <si>
    <t xml:space="preserve">Device B (sheet b)</t>
  </si>
  <si>
    <t xml:space="preserve">Bottom electrode = thin Ag, 10 nm, n = n_Ag + 3.5i;  n_Ag is swept</t>
  </si>
  <si>
    <t xml:space="preserve">Organic indices</t>
  </si>
  <si>
    <t xml:space="preserve">EML and HTL isotropic at n = 1.8, k = 0. ETL uniaxial: ordinary n_o = 1.8, extraordinary n_e = 1.6</t>
  </si>
  <si>
    <t xml:space="preserve">Substrate</t>
  </si>
  <si>
    <t xml:space="preserve">n = 1.8</t>
  </si>
  <si>
    <t xml:space="preserve">Quantities</t>
  </si>
  <si>
    <t xml:space="preserve">eta_sub</t>
  </si>
  <si>
    <t xml:space="preserve">Substrate-delivered power: the fraction of dipole power that reaches the substrate, at all angles (simulated)</t>
  </si>
  <si>
    <t xml:space="preserve">A'</t>
  </si>
  <si>
    <t xml:space="preserve">Round-trip loss, 1 minus the reflectance of the OLED stack seen from the substrate, flux-weighted (cos x sin) over substrate angles and averaged over p and s polarisation (simulated)</t>
  </si>
  <si>
    <t xml:space="preserve">eta_ext</t>
  </si>
  <si>
    <t xml:space="preserve">Substrate-to-air extraction efficiency = p / [p + (1 - p) A'].  FORMULA, recalculates from the p cell below</t>
  </si>
  <si>
    <t xml:space="preserve">EQE</t>
  </si>
  <si>
    <t xml:space="preserve">eta_sub x eta_ext.  FORMULA</t>
  </si>
  <si>
    <t xml:space="preserve">u&gt;1 bin</t>
  </si>
  <si>
    <t xml:space="preserve">Power beyond the light line: surface plasmon, plus light guided in the electrode when its index exceeds the substrate (simulated)</t>
  </si>
  <si>
    <t xml:space="preserve">Input — edit this cell and the whole workbook updates</t>
  </si>
  <si>
    <t xml:space="preserve">p (single-pass escape probability of the microlens array)</t>
  </si>
  <si>
    <t xml:space="preserve">Source of p</t>
  </si>
  <si>
    <t xml:space="preserve">Read off the blue single-pass-escape-probability curve of Fig. 1c at n_sub = 1.8; digitisation uncertainty about +/- 0.01. The slide used 0.40.</t>
  </si>
  <si>
    <t xml:space="preserve">Provenance</t>
  </si>
  <si>
    <t xml:space="preserve">Simulation script</t>
  </si>
  <si>
    <t xml:space="preserve">sim/design_rule4/dr4d.m (Octave 8.4), run with UNUM=3000</t>
  </si>
  <si>
    <t xml:space="preserve">Source files</t>
  </si>
  <si>
    <t xml:space="preserve">p_ito_n19.csv (sheet a), p_ag.csv (sheet b)</t>
  </si>
  <si>
    <t xml:space="preserve">Figure script</t>
  </si>
  <si>
    <t xml:space="preserve">sim/design_rule4/plot_dr4e.py</t>
  </si>
  <si>
    <t xml:space="preserve">Repository</t>
  </si>
  <si>
    <t xml:space="preserve">jjoono/OLED-, branch claude/oled-efficiency-paper-ag-955zsk</t>
  </si>
  <si>
    <t xml:space="preserve">Panel (a) — device A: bottom electrode is a 50 nm TCO with n = 1.9 + k_TCO i. Ag reflector fixed at McPeak n,k.</t>
  </si>
  <si>
    <t xml:space="preserve">eta_ext and EQE are formulas driven by p in README!B25</t>
  </si>
  <si>
    <t xml:space="preserve">k_TCO (extinction)</t>
  </si>
  <si>
    <t xml:space="preserve">A' (round-trip loss)</t>
  </si>
  <si>
    <t xml:space="preserve">Waveguided</t>
  </si>
  <si>
    <t xml:space="preserve">Absorption</t>
  </si>
  <si>
    <t xml:space="preserve">Channel sum (check)</t>
  </si>
  <si>
    <t xml:space="preserve">Panel (b) — device B: bottom electrode is a 10 nm Ag with n = n_Ag + 3.5i. Ag reflector fixed at McPeak n,k.</t>
  </si>
  <si>
    <t xml:space="preserve">n_Ag (real index)</t>
  </si>
  <si>
    <t xml:space="preserve">Panel (c) — how the extraction efficiency responds to the microlens escape probability p.</t>
  </si>
  <si>
    <t xml:space="preserve">Every cell is a formula: eta_ext = p / [p + (1 - p) A'], with A' taken from row 4.</t>
  </si>
  <si>
    <t xml:space="preserve">A'  -&gt;</t>
  </si>
  <si>
    <t xml:space="preserve">p</t>
  </si>
  <si>
    <t xml:space="preserve">ideal electrode</t>
  </si>
  <si>
    <t xml:space="preserve">TCO, k_TCO = 0.02</t>
  </si>
  <si>
    <t xml:space="preserve">Ag, n_Ag = 0.24</t>
  </si>
  <si>
    <t xml:space="preserve">TCO, k_TCO = 0.08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</si>
</sst>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"/>
    <numFmt numFmtId="167" formatCode="0.000000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A5" s="4" t="s">
        <v>3</v>
      </c>
      <c r="B5" s="5" t="s">
        <v>4</v>
      </c>
    </row>
    <row r="6" customFormat="false" ht="13.5" hidden="false" customHeight="true" outlineLevel="0" collapsed="false">
      <c r="A6" s="4" t="s">
        <v>5</v>
      </c>
      <c r="B6" s="5" t="s">
        <v>6</v>
      </c>
    </row>
    <row r="7" customFormat="false" ht="13.5" hidden="false" customHeight="true" outlineLevel="0" collapsed="false">
      <c r="A7" s="4" t="s">
        <v>7</v>
      </c>
      <c r="B7" s="5" t="s">
        <v>8</v>
      </c>
    </row>
    <row r="8" customFormat="false" ht="13.5" hidden="false" customHeight="true" outlineLevel="0" collapsed="false">
      <c r="A8" s="4" t="s">
        <v>9</v>
      </c>
      <c r="B8" s="5" t="s">
        <v>10</v>
      </c>
    </row>
    <row r="10" customFormat="false" ht="15" hidden="false" customHeight="false" outlineLevel="0" collapsed="false">
      <c r="A10" s="3" t="s">
        <v>11</v>
      </c>
    </row>
    <row r="11" customFormat="false" ht="25.5" hidden="false" customHeight="true" outlineLevel="0" collapsed="false">
      <c r="A11" s="4" t="s">
        <v>12</v>
      </c>
      <c r="B11" s="5" t="s">
        <v>13</v>
      </c>
    </row>
    <row r="12" customFormat="false" ht="13.5" hidden="false" customHeight="true" outlineLevel="0" collapsed="false">
      <c r="A12" s="4" t="s">
        <v>14</v>
      </c>
      <c r="B12" s="5" t="s">
        <v>15</v>
      </c>
    </row>
    <row r="13" customFormat="false" ht="13.5" hidden="false" customHeight="true" outlineLevel="0" collapsed="false">
      <c r="A13" s="4" t="s">
        <v>16</v>
      </c>
      <c r="B13" s="5" t="s">
        <v>17</v>
      </c>
    </row>
    <row r="14" customFormat="false" ht="13.5" hidden="false" customHeight="true" outlineLevel="0" collapsed="false">
      <c r="A14" s="4" t="s">
        <v>18</v>
      </c>
      <c r="B14" s="5" t="s">
        <v>19</v>
      </c>
    </row>
    <row r="15" customFormat="false" ht="13.5" hidden="false" customHeight="true" outlineLevel="0" collapsed="false">
      <c r="A15" s="4" t="s">
        <v>20</v>
      </c>
      <c r="B15" s="5" t="s">
        <v>21</v>
      </c>
    </row>
    <row r="17" customFormat="false" ht="15" hidden="false" customHeight="false" outlineLevel="0" collapsed="false">
      <c r="A17" s="3" t="s">
        <v>22</v>
      </c>
    </row>
    <row r="18" customFormat="false" ht="13.5" hidden="false" customHeight="true" outlineLevel="0" collapsed="false">
      <c r="A18" s="4" t="s">
        <v>23</v>
      </c>
      <c r="B18" s="5" t="s">
        <v>24</v>
      </c>
    </row>
    <row r="19" customFormat="false" ht="25.5" hidden="false" customHeight="true" outlineLevel="0" collapsed="false">
      <c r="A19" s="4" t="s">
        <v>25</v>
      </c>
      <c r="B19" s="5" t="s">
        <v>26</v>
      </c>
    </row>
    <row r="20" customFormat="false" ht="13.5" hidden="false" customHeight="true" outlineLevel="0" collapsed="false">
      <c r="A20" s="4" t="s">
        <v>27</v>
      </c>
      <c r="B20" s="5" t="s">
        <v>28</v>
      </c>
    </row>
    <row r="21" customFormat="false" ht="13.5" hidden="false" customHeight="true" outlineLevel="0" collapsed="false">
      <c r="A21" s="4" t="s">
        <v>29</v>
      </c>
      <c r="B21" s="5" t="s">
        <v>30</v>
      </c>
    </row>
    <row r="22" customFormat="false" ht="25.5" hidden="false" customHeight="true" outlineLevel="0" collapsed="false">
      <c r="A22" s="4" t="s">
        <v>31</v>
      </c>
      <c r="B22" s="5" t="s">
        <v>32</v>
      </c>
    </row>
    <row r="24" customFormat="false" ht="15" hidden="false" customHeight="false" outlineLevel="0" collapsed="false">
      <c r="A24" s="3" t="s">
        <v>33</v>
      </c>
    </row>
    <row r="25" customFormat="false" ht="15" hidden="false" customHeight="false" outlineLevel="0" collapsed="false">
      <c r="A25" s="4" t="s">
        <v>34</v>
      </c>
      <c r="B25" s="6" t="n">
        <v>0.3</v>
      </c>
    </row>
    <row r="26" customFormat="false" ht="25.5" hidden="false" customHeight="true" outlineLevel="0" collapsed="false">
      <c r="A26" s="4" t="s">
        <v>35</v>
      </c>
      <c r="B26" s="5" t="s">
        <v>36</v>
      </c>
    </row>
    <row r="28" customFormat="false" ht="15" hidden="false" customHeight="false" outlineLevel="0" collapsed="false">
      <c r="A28" s="3" t="s">
        <v>37</v>
      </c>
    </row>
    <row r="29" customFormat="false" ht="13.5" hidden="false" customHeight="true" outlineLevel="0" collapsed="false">
      <c r="A29" s="4" t="s">
        <v>38</v>
      </c>
      <c r="B29" s="5" t="s">
        <v>39</v>
      </c>
    </row>
    <row r="30" customFormat="false" ht="13.5" hidden="false" customHeight="true" outlineLevel="0" collapsed="false">
      <c r="A30" s="4" t="s">
        <v>40</v>
      </c>
      <c r="B30" s="5" t="s">
        <v>41</v>
      </c>
    </row>
    <row r="31" customFormat="false" ht="13.5" hidden="false" customHeight="true" outlineLevel="0" collapsed="false">
      <c r="A31" s="4" t="s">
        <v>42</v>
      </c>
      <c r="B31" s="5" t="s">
        <v>43</v>
      </c>
    </row>
    <row r="32" customFormat="false" ht="13.5" hidden="false" customHeight="true" outlineLevel="0" collapsed="false">
      <c r="A32" s="4" t="s">
        <v>44</v>
      </c>
      <c r="B32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2" t="s">
        <v>46</v>
      </c>
    </row>
    <row r="2" customFormat="false" ht="15" hidden="false" customHeight="false" outlineLevel="0" collapsed="false">
      <c r="A2" s="7" t="s">
        <v>47</v>
      </c>
    </row>
    <row r="4" customFormat="false" ht="30" hidden="false" customHeight="true" outlineLevel="0" collapsed="false">
      <c r="A4" s="8" t="s">
        <v>48</v>
      </c>
      <c r="B4" s="8" t="s">
        <v>23</v>
      </c>
      <c r="C4" s="8" t="s">
        <v>49</v>
      </c>
      <c r="D4" s="8" t="s">
        <v>50</v>
      </c>
      <c r="E4" s="8" t="s">
        <v>31</v>
      </c>
      <c r="F4" s="8" t="s">
        <v>51</v>
      </c>
      <c r="G4" s="8" t="s">
        <v>27</v>
      </c>
      <c r="H4" s="8" t="s">
        <v>29</v>
      </c>
      <c r="I4" s="8" t="s">
        <v>52</v>
      </c>
    </row>
    <row r="5" customFormat="false" ht="15" hidden="false" customHeight="false" outlineLevel="0" collapsed="false">
      <c r="A5" s="9" t="n">
        <v>0</v>
      </c>
      <c r="B5" s="9" t="n">
        <v>0.949627543088352</v>
      </c>
      <c r="C5" s="9" t="n">
        <v>0.0209376026785931</v>
      </c>
      <c r="D5" s="9" t="n">
        <v>0</v>
      </c>
      <c r="E5" s="9" t="n">
        <v>0.0376857440967061</v>
      </c>
      <c r="F5" s="9" t="n">
        <v>0.0126867128149374</v>
      </c>
      <c r="G5" s="9" t="n">
        <f aca="false">README!$B$25/(README!$B$25+(1-README!$B$25)*C5)</f>
        <v>0.953421174608286</v>
      </c>
      <c r="H5" s="9" t="n">
        <f aca="false">B5*G5</f>
        <v>0.905395007571677</v>
      </c>
      <c r="I5" s="10" t="n">
        <f aca="false">B5+D5+E5+F5</f>
        <v>0.999999999999995</v>
      </c>
    </row>
    <row r="6" customFormat="false" ht="15" hidden="false" customHeight="false" outlineLevel="0" collapsed="false">
      <c r="A6" s="9" t="n">
        <v>0.0025</v>
      </c>
      <c r="B6" s="9" t="n">
        <v>0.941215460266345</v>
      </c>
      <c r="C6" s="9" t="n">
        <v>0.0314699924076314</v>
      </c>
      <c r="D6" s="9" t="n">
        <v>0</v>
      </c>
      <c r="E6" s="9" t="n">
        <v>0.0395639024713349</v>
      </c>
      <c r="F6" s="9" t="n">
        <v>0.0192206372623165</v>
      </c>
      <c r="G6" s="9" t="n">
        <f aca="false">README!$B$25/(README!$B$25+(1-README!$B$25)*C6)</f>
        <v>0.931593132764748</v>
      </c>
      <c r="H6" s="9" t="n">
        <f aca="false">B6*G6</f>
        <v>0.876829859236138</v>
      </c>
      <c r="I6" s="10" t="n">
        <f aca="false">B6+D6+E6+F6</f>
        <v>0.999999999999996</v>
      </c>
    </row>
    <row r="7" customFormat="false" ht="15" hidden="false" customHeight="false" outlineLevel="0" collapsed="false">
      <c r="A7" s="9" t="n">
        <v>0.005</v>
      </c>
      <c r="B7" s="9" t="n">
        <v>0.933255259086677</v>
      </c>
      <c r="C7" s="9" t="n">
        <v>0.0416507158832576</v>
      </c>
      <c r="D7" s="9" t="n">
        <v>0</v>
      </c>
      <c r="E7" s="9" t="n">
        <v>0.0412898547818535</v>
      </c>
      <c r="F7" s="9" t="n">
        <v>0.0254548861314696</v>
      </c>
      <c r="G7" s="9" t="n">
        <f aca="false">README!$B$25/(README!$B$25+(1-README!$B$25)*C7)</f>
        <v>0.9114233211378</v>
      </c>
      <c r="H7" s="9" t="n">
        <f aca="false">B7*G7</f>
        <v>0.850590607706097</v>
      </c>
      <c r="I7" s="10" t="n">
        <f aca="false">B7+D7+E7+F7</f>
        <v>1</v>
      </c>
    </row>
    <row r="8" customFormat="false" ht="15" hidden="false" customHeight="false" outlineLevel="0" collapsed="false">
      <c r="A8" s="9" t="n">
        <v>0.0075</v>
      </c>
      <c r="B8" s="9" t="n">
        <v>0.925775192110621</v>
      </c>
      <c r="C8" s="9" t="n">
        <v>0.0515227711827012</v>
      </c>
      <c r="D8" s="9" t="n">
        <v>0</v>
      </c>
      <c r="E8" s="9" t="n">
        <v>0.0427808418137521</v>
      </c>
      <c r="F8" s="9" t="n">
        <v>0.0314439660756261</v>
      </c>
      <c r="G8" s="9" t="n">
        <f aca="false">README!$B$25/(README!$B$25+(1-README!$B$25)*C8)</f>
        <v>0.892681954480834</v>
      </c>
      <c r="H8" s="9" t="n">
        <f aca="false">B8*G8</f>
        <v>0.826422807903179</v>
      </c>
      <c r="I8" s="10" t="n">
        <f aca="false">B8+D8+E8+F8</f>
        <v>0.999999999999999</v>
      </c>
    </row>
    <row r="9" customFormat="false" ht="15" hidden="false" customHeight="false" outlineLevel="0" collapsed="false">
      <c r="A9" s="9" t="n">
        <v>0.01</v>
      </c>
      <c r="B9" s="9" t="n">
        <v>0.918748138023518</v>
      </c>
      <c r="C9" s="9" t="n">
        <v>0.0611190130908399</v>
      </c>
      <c r="D9" s="9" t="n">
        <v>0</v>
      </c>
      <c r="E9" s="9" t="n">
        <v>0.0440227187749307</v>
      </c>
      <c r="F9" s="9" t="n">
        <v>0.037229143201554</v>
      </c>
      <c r="G9" s="9" t="n">
        <f aca="false">README!$B$25/(README!$B$25+(1-README!$B$25)*C9)</f>
        <v>0.875188470325519</v>
      </c>
      <c r="H9" s="9" t="n">
        <f aca="false">B9*G9</f>
        <v>0.804077777531222</v>
      </c>
      <c r="I9" s="10" t="n">
        <f aca="false">B9+D9+E9+F9</f>
        <v>1</v>
      </c>
    </row>
    <row r="10" customFormat="false" ht="15" hidden="false" customHeight="false" outlineLevel="0" collapsed="false">
      <c r="A10" s="9" t="n">
        <v>0.0125</v>
      </c>
      <c r="B10" s="9" t="n">
        <v>0.912114897894091</v>
      </c>
      <c r="C10" s="9" t="n">
        <v>0.0704648111150609</v>
      </c>
      <c r="D10" s="9" t="n">
        <v>0</v>
      </c>
      <c r="E10" s="9" t="n">
        <v>0.0450439425083895</v>
      </c>
      <c r="F10" s="9" t="n">
        <v>0.0428411595975218</v>
      </c>
      <c r="G10" s="9" t="n">
        <f aca="false">README!$B$25/(README!$B$25+(1-README!$B$25)*C10)</f>
        <v>0.858798208404005</v>
      </c>
      <c r="H10" s="9" t="n">
        <f aca="false">B10*G10</f>
        <v>0.783322640170047</v>
      </c>
      <c r="I10" s="10" t="n">
        <f aca="false">B10+D10+E10+F10</f>
        <v>1</v>
      </c>
    </row>
    <row r="11" customFormat="false" ht="15" hidden="false" customHeight="false" outlineLevel="0" collapsed="false">
      <c r="A11" s="9" t="n">
        <v>0.015</v>
      </c>
      <c r="B11" s="9" t="n">
        <v>0.905810432611547</v>
      </c>
      <c r="C11" s="9" t="n">
        <v>0.079580263859156</v>
      </c>
      <c r="D11" s="9" t="n">
        <v>0</v>
      </c>
      <c r="E11" s="9" t="n">
        <v>0.0458865709717523</v>
      </c>
      <c r="F11" s="9" t="n">
        <v>0.0483029964167006</v>
      </c>
      <c r="G11" s="9" t="n">
        <f aca="false">README!$B$25/(README!$B$25+(1-README!$B$25)*C11)</f>
        <v>0.843392701343749</v>
      </c>
      <c r="H11" s="9" t="n">
        <f aca="false">B11*G11</f>
        <v>0.763953907665602</v>
      </c>
      <c r="I11" s="10" t="n">
        <f aca="false">B11+D11+E11+F11</f>
        <v>1</v>
      </c>
    </row>
    <row r="12" customFormat="false" ht="15" hidden="false" customHeight="false" outlineLevel="0" collapsed="false">
      <c r="A12" s="9" t="n">
        <v>0.0175</v>
      </c>
      <c r="B12" s="9" t="n">
        <v>0.899777880199169</v>
      </c>
      <c r="C12" s="9" t="n">
        <v>0.0884817449921569</v>
      </c>
      <c r="D12" s="9" t="n">
        <v>0</v>
      </c>
      <c r="E12" s="9" t="n">
        <v>0.0465899291323592</v>
      </c>
      <c r="F12" s="9" t="n">
        <v>0.053632190668471</v>
      </c>
      <c r="G12" s="9" t="n">
        <f aca="false">README!$B$25/(README!$B$25+(1-README!$B$25)*C12)</f>
        <v>0.828873025993959</v>
      </c>
      <c r="H12" s="9" t="n">
        <f aca="false">B12*G12</f>
        <v>0.745801614283115</v>
      </c>
      <c r="I12" s="10" t="n">
        <f aca="false">B12+D12+E12+F12</f>
        <v>0.999999999999999</v>
      </c>
    </row>
    <row r="13" customFormat="false" ht="15" hidden="false" customHeight="false" outlineLevel="0" collapsed="false">
      <c r="A13" s="9" t="n">
        <v>0.02</v>
      </c>
      <c r="B13" s="9" t="n">
        <v>0.893972179863496</v>
      </c>
      <c r="C13" s="9" t="n">
        <v>0.0971829311637479</v>
      </c>
      <c r="D13" s="9" t="n">
        <v>0</v>
      </c>
      <c r="E13" s="9" t="n">
        <v>0.0471853296953928</v>
      </c>
      <c r="F13" s="9" t="n">
        <v>0.0588424904411161</v>
      </c>
      <c r="G13" s="9" t="n">
        <f aca="false">README!$B$25/(README!$B$25+(1-README!$B$25)*C13)</f>
        <v>0.815155253847635</v>
      </c>
      <c r="H13" s="9" t="n">
        <f aca="false">B13*G13</f>
        <v>0.728726119209352</v>
      </c>
      <c r="I13" s="10" t="n">
        <f aca="false">B13+D13+E13+F13</f>
        <v>1.00000000000001</v>
      </c>
    </row>
    <row r="14" customFormat="false" ht="15" hidden="false" customHeight="false" outlineLevel="0" collapsed="false">
      <c r="A14" s="9" t="n">
        <v>0.0225</v>
      </c>
      <c r="B14" s="9" t="n">
        <v>0.888358900429308</v>
      </c>
      <c r="C14" s="9" t="n">
        <v>0.105695487711089</v>
      </c>
      <c r="D14" s="9" t="n">
        <v>0</v>
      </c>
      <c r="E14" s="9" t="n">
        <v>0.0476961492260559</v>
      </c>
      <c r="F14" s="9" t="n">
        <v>0.0639449503446361</v>
      </c>
      <c r="G14" s="9" t="n">
        <f aca="false">README!$B$25/(README!$B$25+(1-README!$B$25)*C14)</f>
        <v>0.802167260427562</v>
      </c>
      <c r="H14" s="9" t="n">
        <f aca="false">B14*G14</f>
        <v>0.712612425433819</v>
      </c>
      <c r="I14" s="10" t="n">
        <f aca="false">B14+D14+E14+F14</f>
        <v>1</v>
      </c>
    </row>
    <row r="15" customFormat="false" ht="15" hidden="false" customHeight="false" outlineLevel="0" collapsed="false">
      <c r="A15" s="9" t="n">
        <v>0.025</v>
      </c>
      <c r="B15" s="9" t="n">
        <v>0.882911841060582</v>
      </c>
      <c r="C15" s="9" t="n">
        <v>0.114029536623335</v>
      </c>
      <c r="D15" s="9" t="n">
        <v>0</v>
      </c>
      <c r="E15" s="9" t="n">
        <v>0.04813951053877</v>
      </c>
      <c r="F15" s="9" t="n">
        <v>0.0689486484006445</v>
      </c>
      <c r="G15" s="9" t="n">
        <f aca="false">README!$B$25/(README!$B$25+(1-README!$B$25)*C15)</f>
        <v>0.789846417647996</v>
      </c>
      <c r="H15" s="9" t="n">
        <f aca="false">B15*G15</f>
        <v>0.697364754760697</v>
      </c>
      <c r="I15" s="10" t="n">
        <f aca="false">B15+D15+E15+F15</f>
        <v>0.999999999999997</v>
      </c>
    </row>
    <row r="16" customFormat="false" ht="15" hidden="false" customHeight="false" outlineLevel="0" collapsed="false">
      <c r="A16" s="9" t="n">
        <v>0.0275</v>
      </c>
      <c r="B16" s="9" t="n">
        <v>0.877610824888525</v>
      </c>
      <c r="C16" s="9" t="n">
        <v>0.1221939850716</v>
      </c>
      <c r="D16" s="9" t="n">
        <v>0</v>
      </c>
      <c r="E16" s="9" t="n">
        <v>0.0485280078536456</v>
      </c>
      <c r="F16" s="9" t="n">
        <v>0.0738611672578322</v>
      </c>
      <c r="G16" s="9" t="n">
        <f aca="false">README!$B$25/(README!$B$25+(1-README!$B$25)*C16)</f>
        <v>0.778137874955964</v>
      </c>
      <c r="H16" s="9" t="n">
        <f aca="false">B16*G16</f>
        <v>0.682902222317108</v>
      </c>
      <c r="I16" s="10" t="n">
        <f aca="false">B16+D16+E16+F16</f>
        <v>1</v>
      </c>
    </row>
    <row r="17" customFormat="false" ht="15" hidden="false" customHeight="false" outlineLevel="0" collapsed="false">
      <c r="A17" s="9" t="n">
        <v>0.03</v>
      </c>
      <c r="B17" s="9" t="n">
        <v>0.872440022415838</v>
      </c>
      <c r="C17" s="9" t="n">
        <v>0.130196762640918</v>
      </c>
      <c r="D17" s="9" t="n">
        <v>0</v>
      </c>
      <c r="E17" s="9" t="n">
        <v>0.0488710479973275</v>
      </c>
      <c r="F17" s="9" t="n">
        <v>0.0786889295868307</v>
      </c>
      <c r="G17" s="9" t="n">
        <f aca="false">README!$B$25/(README!$B$25+(1-README!$B$25)*C17)</f>
        <v>0.7669932456992</v>
      </c>
      <c r="H17" s="9" t="n">
        <f aca="false">B17*G17</f>
        <v>0.669155604470606</v>
      </c>
      <c r="I17" s="10" t="n">
        <f aca="false">B17+D17+E17+F17</f>
        <v>0.999999999999996</v>
      </c>
    </row>
    <row r="18" customFormat="false" ht="15" hidden="false" customHeight="false" outlineLevel="0" collapsed="false">
      <c r="A18" s="9" t="n">
        <v>0.0325</v>
      </c>
      <c r="B18" s="9" t="n">
        <v>0.867386761701212</v>
      </c>
      <c r="C18" s="9" t="n">
        <v>0.138044997152138</v>
      </c>
      <c r="D18" s="9" t="n">
        <v>0</v>
      </c>
      <c r="E18" s="9" t="n">
        <v>0.0491757979677645</v>
      </c>
      <c r="F18" s="9" t="n">
        <v>0.0834374403310243</v>
      </c>
      <c r="G18" s="9" t="n">
        <f aca="false">README!$B$25/(README!$B$25+(1-README!$B$25)*C18)</f>
        <v>0.75636958110444</v>
      </c>
      <c r="H18" s="9" t="n">
        <f aca="false">B18*G18</f>
        <v>0.656064961603483</v>
      </c>
      <c r="I18" s="10" t="n">
        <f aca="false">B18+D18+E18+F18</f>
        <v>1</v>
      </c>
    </row>
    <row r="19" customFormat="false" ht="15" hidden="false" customHeight="false" outlineLevel="0" collapsed="false">
      <c r="A19" s="9" t="n">
        <v>0.035</v>
      </c>
      <c r="B19" s="9" t="n">
        <v>0.862440700921956</v>
      </c>
      <c r="C19" s="9" t="n">
        <v>0.145745148045934</v>
      </c>
      <c r="D19" s="9" t="n">
        <v>0</v>
      </c>
      <c r="E19" s="9" t="n">
        <v>0.0494478322659735</v>
      </c>
      <c r="F19" s="9" t="n">
        <v>0.0881114668120702</v>
      </c>
      <c r="G19" s="9" t="n">
        <f aca="false">README!$B$25/(README!$B$25+(1-README!$B$25)*C19)</f>
        <v>0.746228554111478</v>
      </c>
      <c r="H19" s="9" t="n">
        <f aca="false">B19*G19</f>
        <v>0.643577877255881</v>
      </c>
      <c r="I19" s="10" t="n">
        <f aca="false">B19+D19+E19+F19</f>
        <v>0.999999999999999</v>
      </c>
    </row>
    <row r="20" customFormat="false" ht="15" hidden="false" customHeight="false" outlineLevel="0" collapsed="false">
      <c r="A20" s="9" t="n">
        <v>0.0375</v>
      </c>
      <c r="B20" s="9" t="n">
        <v>0.85759325156273</v>
      </c>
      <c r="C20" s="9" t="n">
        <v>0.153303109685864</v>
      </c>
      <c r="D20" s="9" t="n">
        <v>0</v>
      </c>
      <c r="E20" s="9" t="n">
        <v>0.0496915727821749</v>
      </c>
      <c r="F20" s="9" t="n">
        <v>0.0927151756550939</v>
      </c>
      <c r="G20" s="9" t="n">
        <f aca="false">README!$B$25/(README!$B$25+(1-README!$B$25)*C20)</f>
        <v>0.736535800062665</v>
      </c>
      <c r="H20" s="9" t="n">
        <f aca="false">B20*G20</f>
        <v>0.631648131668098</v>
      </c>
      <c r="I20" s="10" t="n">
        <f aca="false">B20+D20+E20+F20</f>
        <v>0.999999999999999</v>
      </c>
    </row>
    <row r="21" customFormat="false" ht="15" hidden="false" customHeight="false" outlineLevel="0" collapsed="false">
      <c r="A21" s="9" t="n">
        <v>0.04</v>
      </c>
      <c r="B21" s="9" t="n">
        <v>0.852837170942004</v>
      </c>
      <c r="C21" s="9" t="n">
        <v>0.160724292839308</v>
      </c>
      <c r="D21" s="9" t="n">
        <v>0</v>
      </c>
      <c r="E21" s="9" t="n">
        <v>0.0499105903405751</v>
      </c>
      <c r="F21" s="9" t="n">
        <v>0.0972522387174191</v>
      </c>
      <c r="G21" s="9" t="n">
        <f aca="false">README!$B$25/(README!$B$25+(1-README!$B$25)*C21)</f>
        <v>0.727260377091243</v>
      </c>
      <c r="H21" s="9" t="n">
        <f aca="false">B21*G21</f>
        <v>0.620234682536711</v>
      </c>
      <c r="I21" s="10" t="n">
        <f aca="false">B21+D21+E21+F21</f>
        <v>0.999999999999998</v>
      </c>
    </row>
    <row r="22" customFormat="false" ht="15" hidden="false" customHeight="false" outlineLevel="0" collapsed="false">
      <c r="A22" s="9" t="n">
        <v>0.0425</v>
      </c>
      <c r="B22" s="9" t="n">
        <v>0.848166269135206</v>
      </c>
      <c r="C22" s="9" t="n">
        <v>0.168013689992934</v>
      </c>
      <c r="D22" s="9" t="n">
        <v>0</v>
      </c>
      <c r="E22" s="9" t="n">
        <v>0.0501078146575142</v>
      </c>
      <c r="F22" s="9" t="n">
        <v>0.101725916207276</v>
      </c>
      <c r="G22" s="9" t="n">
        <f aca="false">README!$B$25/(README!$B$25+(1-README!$B$25)*C22)</f>
        <v>0.718374319498202</v>
      </c>
      <c r="H22" s="9" t="n">
        <f aca="false">B22*G22</f>
        <v>0.609300866411333</v>
      </c>
      <c r="I22" s="10" t="n">
        <f aca="false">B22+D22+E22+F22</f>
        <v>0.999999999999996</v>
      </c>
    </row>
    <row r="23" customFormat="false" ht="15" hidden="false" customHeight="false" outlineLevel="0" collapsed="false">
      <c r="A23" s="9" t="n">
        <v>0.045</v>
      </c>
      <c r="B23" s="9" t="n">
        <v>0.843575194047629</v>
      </c>
      <c r="C23" s="9" t="n">
        <v>0.175175928465716</v>
      </c>
      <c r="D23" s="9" t="n">
        <v>0</v>
      </c>
      <c r="E23" s="9" t="n">
        <v>0.0502856832588283</v>
      </c>
      <c r="F23" s="9" t="n">
        <v>0.106139122693544</v>
      </c>
      <c r="G23" s="9" t="n">
        <f aca="false">README!$B$25/(README!$B$25+(1-README!$B$25)*C23)</f>
        <v>0.709852264487944</v>
      </c>
      <c r="H23" s="9" t="n">
        <f aca="false">B23*G23</f>
        <v>0.598813761760566</v>
      </c>
      <c r="I23" s="10" t="n">
        <f aca="false">B23+D23+E23+F23</f>
        <v>1</v>
      </c>
    </row>
    <row r="24" customFormat="false" ht="15" hidden="false" customHeight="false" outlineLevel="0" collapsed="false">
      <c r="A24" s="9" t="n">
        <v>0.0475</v>
      </c>
      <c r="B24" s="9" t="n">
        <v>0.839059270761057</v>
      </c>
      <c r="C24" s="9" t="n">
        <v>0.182215314153858</v>
      </c>
      <c r="D24" s="9" t="n">
        <v>0</v>
      </c>
      <c r="E24" s="9" t="n">
        <v>0.0504462491526879</v>
      </c>
      <c r="F24" s="9" t="n">
        <v>0.110494480086257</v>
      </c>
      <c r="G24" s="9" t="n">
        <f aca="false">README!$B$25/(README!$B$25+(1-README!$B$25)*C24)</f>
        <v>0.701671137554777</v>
      </c>
      <c r="H24" s="9" t="n">
        <f aca="false">B24*G24</f>
        <v>0.588743672990792</v>
      </c>
      <c r="I24" s="10" t="n">
        <f aca="false">B24+D24+E24+F24</f>
        <v>1</v>
      </c>
    </row>
    <row r="25" customFormat="false" ht="15" hidden="false" customHeight="false" outlineLevel="0" collapsed="false">
      <c r="A25" s="9" t="n">
        <v>0.05</v>
      </c>
      <c r="B25" s="9" t="n">
        <v>0.83461437927514</v>
      </c>
      <c r="C25" s="9" t="n">
        <v>0.18913586797339</v>
      </c>
      <c r="D25" s="9" t="n">
        <v>0</v>
      </c>
      <c r="E25" s="9" t="n">
        <v>0.0505912601567778</v>
      </c>
      <c r="F25" s="9" t="n">
        <v>0.114794360568085</v>
      </c>
      <c r="G25" s="9" t="n">
        <f aca="false">README!$B$25/(README!$B$25+(1-README!$B$25)*C25)</f>
        <v>0.693809885310839</v>
      </c>
      <c r="H25" s="9" t="n">
        <f aca="false">B25*G25</f>
        <v>0.579063706763662</v>
      </c>
      <c r="I25" s="10" t="n">
        <f aca="false">B25+D25+E25+F25</f>
        <v>1</v>
      </c>
    </row>
    <row r="26" customFormat="false" ht="15" hidden="false" customHeight="false" outlineLevel="0" collapsed="false">
      <c r="A26" s="9" t="n">
        <v>0.0525</v>
      </c>
      <c r="B26" s="9" t="n">
        <v>0.830236859922308</v>
      </c>
      <c r="C26" s="9" t="n">
        <v>0.195941356531752</v>
      </c>
      <c r="D26" s="9" t="n">
        <v>0</v>
      </c>
      <c r="E26" s="9" t="n">
        <v>0.0507222183883051</v>
      </c>
      <c r="F26" s="9" t="n">
        <v>0.119040921689385</v>
      </c>
      <c r="G26" s="9" t="n">
        <f aca="false">README!$B$25/(README!$B$25+(1-README!$B$25)*C26)</f>
        <v>0.686249247084063</v>
      </c>
      <c r="H26" s="9" t="n">
        <f aca="false">B26*G26</f>
        <v>0.56974942002312</v>
      </c>
      <c r="I26" s="10" t="n">
        <f aca="false">B26+D26+E26+F26</f>
        <v>0.999999999999998</v>
      </c>
    </row>
    <row r="27" customFormat="false" ht="15" hidden="false" customHeight="false" outlineLevel="0" collapsed="false">
      <c r="A27" s="9" t="n">
        <v>0.055</v>
      </c>
      <c r="B27" s="9" t="n">
        <v>0.825923439090541</v>
      </c>
      <c r="C27" s="9" t="n">
        <v>0.202635318181496</v>
      </c>
      <c r="D27" s="9" t="n">
        <v>0</v>
      </c>
      <c r="E27" s="9" t="n">
        <v>0.0508404256177981</v>
      </c>
      <c r="F27" s="9" t="n">
        <v>0.12323613529166</v>
      </c>
      <c r="G27" s="9" t="n">
        <f aca="false">README!$B$25/(README!$B$25+(1-README!$B$25)*C27)</f>
        <v>0.678971558488721</v>
      </c>
      <c r="H27" s="9" t="n">
        <f aca="false">B27*G27</f>
        <v>0.560778524631668</v>
      </c>
      <c r="I27" s="10" t="n">
        <f aca="false">B27+D27+E27+F27</f>
        <v>0.999999999999999</v>
      </c>
    </row>
    <row r="28" customFormat="false" ht="15" hidden="false" customHeight="false" outlineLevel="0" collapsed="false">
      <c r="A28" s="9" t="n">
        <v>0.0575</v>
      </c>
      <c r="B28" s="9" t="n">
        <v>0.821671170101586</v>
      </c>
      <c r="C28" s="9" t="n">
        <v>0.209221085336609</v>
      </c>
      <c r="D28" s="9" t="n">
        <v>0</v>
      </c>
      <c r="E28" s="9" t="n">
        <v>0.0509470183721081</v>
      </c>
      <c r="F28" s="9" t="n">
        <v>0.127381811526307</v>
      </c>
      <c r="G28" s="9" t="n">
        <f aca="false">README!$B$25/(README!$B$25+(1-README!$B$25)*C28)</f>
        <v>0.671960581577513</v>
      </c>
      <c r="H28" s="9" t="n">
        <f aca="false">B28*G28</f>
        <v>0.552130637326937</v>
      </c>
      <c r="I28" s="10" t="n">
        <f aca="false">B28+D28+E28+F28</f>
        <v>1</v>
      </c>
    </row>
    <row r="29" customFormat="false" ht="15" hidden="false" customHeight="false" outlineLevel="0" collapsed="false">
      <c r="A29" s="9" t="n">
        <v>0.06</v>
      </c>
      <c r="B29" s="9" t="n">
        <v>0.81747738557641</v>
      </c>
      <c r="C29" s="9" t="n">
        <v>0.215701803732735</v>
      </c>
      <c r="D29" s="9" t="n">
        <v>0</v>
      </c>
      <c r="E29" s="9" t="n">
        <v>0.0510429954808132</v>
      </c>
      <c r="F29" s="9" t="n">
        <v>0.13147961894278</v>
      </c>
      <c r="G29" s="9" t="n">
        <f aca="false">README!$B$25/(README!$B$25+(1-README!$B$25)*C29)</f>
        <v>0.665201357254431</v>
      </c>
      <c r="H29" s="9" t="n">
        <f aca="false">B29*G29</f>
        <v>0.543787066410232</v>
      </c>
      <c r="I29" s="10" t="n">
        <f aca="false">B29+D29+E29+F29</f>
        <v>1</v>
      </c>
    </row>
    <row r="30" customFormat="false" ht="15" hidden="false" customHeight="false" outlineLevel="0" collapsed="false">
      <c r="A30" s="9" t="n">
        <v>0.0625</v>
      </c>
      <c r="B30" s="9" t="n">
        <v>0.813339658632</v>
      </c>
      <c r="C30" s="9" t="n">
        <v>0.222080449164642</v>
      </c>
      <c r="D30" s="9" t="n">
        <v>0</v>
      </c>
      <c r="E30" s="9" t="n">
        <v>0.0511292399659853</v>
      </c>
      <c r="F30" s="9" t="n">
        <v>0.135531101402012</v>
      </c>
      <c r="G30" s="9" t="n">
        <f aca="false">README!$B$25/(README!$B$25+(1-README!$B$25)*C30)</f>
        <v>0.658680076452917</v>
      </c>
      <c r="H30" s="9" t="n">
        <f aca="false">B30*G30</f>
        <v>0.535730628529915</v>
      </c>
      <c r="I30" s="10" t="n">
        <f aca="false">B30+D30+E30+F30</f>
        <v>0.999999999999997</v>
      </c>
    </row>
    <row r="31" customFormat="false" ht="15" hidden="false" customHeight="false" outlineLevel="0" collapsed="false">
      <c r="A31" s="9" t="n">
        <v>0.065</v>
      </c>
      <c r="B31" s="9" t="n">
        <v>0.809255770956411</v>
      </c>
      <c r="C31" s="9" t="n">
        <v>0.228359842122946</v>
      </c>
      <c r="D31" s="9" t="n">
        <v>0</v>
      </c>
      <c r="E31" s="9" t="n">
        <v>0.0512065366370053</v>
      </c>
      <c r="F31" s="9" t="n">
        <v>0.139537692406588</v>
      </c>
      <c r="G31" s="9" t="n">
        <f aca="false">README!$B$25/(README!$B$25+(1-README!$B$25)*C31)</f>
        <v>0.652383967227545</v>
      </c>
      <c r="H31" s="9" t="n">
        <f aca="false">B31*G31</f>
        <v>0.527945490358329</v>
      </c>
      <c r="I31" s="10" t="n">
        <f aca="false">B31+D31+E31+F31</f>
        <v>1</v>
      </c>
    </row>
    <row r="32" customFormat="false" ht="15" hidden="false" customHeight="false" outlineLevel="0" collapsed="false">
      <c r="A32" s="9" t="n">
        <v>0.0675</v>
      </c>
      <c r="B32" s="9" t="n">
        <v>0.805223686304292</v>
      </c>
      <c r="C32" s="9" t="n">
        <v>0.234542660667668</v>
      </c>
      <c r="D32" s="9" t="n">
        <v>0</v>
      </c>
      <c r="E32" s="9" t="n">
        <v>0.0512755863812654</v>
      </c>
      <c r="F32" s="9" t="n">
        <v>0.143500727314447</v>
      </c>
      <c r="G32" s="9" t="n">
        <f aca="false">README!$B$25/(README!$B$25+(1-README!$B$25)*C32)</f>
        <v>0.646301195414504</v>
      </c>
      <c r="H32" s="9" t="n">
        <f aca="false">B32*G32</f>
        <v>0.520417031034538</v>
      </c>
      <c r="I32" s="10" t="n">
        <f aca="false">B32+D32+E32+F32</f>
        <v>1</v>
      </c>
    </row>
    <row r="33" customFormat="false" ht="15" hidden="false" customHeight="false" outlineLevel="0" collapsed="false">
      <c r="A33" s="9" t="n">
        <v>0.07</v>
      </c>
      <c r="B33" s="9" t="n">
        <v>0.801241528310819</v>
      </c>
      <c r="C33" s="9" t="n">
        <v>0.240631451810787</v>
      </c>
      <c r="D33" s="9" t="n">
        <v>0</v>
      </c>
      <c r="E33" s="9" t="n">
        <v>0.0513370178821654</v>
      </c>
      <c r="F33" s="9" t="n">
        <v>0.147421453807017</v>
      </c>
      <c r="G33" s="9" t="n">
        <f aca="false">README!$B$25/(README!$B$25+(1-README!$B$25)*C33)</f>
        <v>0.640420776919923</v>
      </c>
      <c r="H33" s="9" t="n">
        <f aca="false">B33*G33</f>
        <v>0.513131722061321</v>
      </c>
      <c r="I33" s="10" t="n">
        <f aca="false">B33+D33+E33+F33</f>
        <v>1</v>
      </c>
    </row>
    <row r="34" customFormat="false" ht="15" hidden="false" customHeight="false" outlineLevel="0" collapsed="false">
      <c r="A34" s="9" t="n">
        <v>0.0725</v>
      </c>
      <c r="B34" s="9" t="n">
        <v>0.797307561779728</v>
      </c>
      <c r="C34" s="9" t="n">
        <v>0.246628641629531</v>
      </c>
      <c r="D34" s="9" t="n">
        <v>0</v>
      </c>
      <c r="E34" s="9" t="n">
        <v>0.0513913973114679</v>
      </c>
      <c r="F34" s="9" t="n">
        <v>0.151301040908804</v>
      </c>
      <c r="G34" s="9" t="n">
        <f aca="false">README!$B$25/(README!$B$25+(1-README!$B$25)*C34)</f>
        <v>0.634732500018658</v>
      </c>
      <c r="H34" s="9" t="n">
        <f aca="false">B34*G34</f>
        <v>0.506077021972228</v>
      </c>
      <c r="I34" s="10" t="n">
        <f aca="false">B34+D34+E34+F34</f>
        <v>1</v>
      </c>
    </row>
    <row r="35" customFormat="false" ht="15" hidden="false" customHeight="false" outlineLevel="0" collapsed="false">
      <c r="A35" s="9" t="n">
        <v>0.075</v>
      </c>
      <c r="B35" s="9" t="n">
        <v>0.793420176791873</v>
      </c>
      <c r="C35" s="9" t="n">
        <v>0.252536544292188</v>
      </c>
      <c r="D35" s="9" t="n">
        <v>0</v>
      </c>
      <c r="E35" s="9" t="n">
        <v>0.0514392364103445</v>
      </c>
      <c r="F35" s="9" t="n">
        <v>0.155140586797783</v>
      </c>
      <c r="G35" s="9" t="n">
        <f aca="false">README!$B$25/(README!$B$25+(1-README!$B$25)*C35)</f>
        <v>0.629226856308206</v>
      </c>
      <c r="H35" s="9" t="n">
        <f aca="false">B35*G35</f>
        <v>0.499241283574252</v>
      </c>
      <c r="I35" s="10" t="n">
        <f aca="false">B35+D35+E35+F35</f>
        <v>1</v>
      </c>
    </row>
    <row r="36" customFormat="false" ht="15" hidden="false" customHeight="false" outlineLevel="0" collapsed="false">
      <c r="A36" s="9" t="n">
        <v>0.0775</v>
      </c>
      <c r="B36" s="9" t="n">
        <v>0.789577875122732</v>
      </c>
      <c r="C36" s="9" t="n">
        <v>0.258357370146728</v>
      </c>
      <c r="D36" s="9" t="n">
        <v>0</v>
      </c>
      <c r="E36" s="9" t="n">
        <v>0.0514809992765063</v>
      </c>
      <c r="F36" s="9" t="n">
        <v>0.158941125600764</v>
      </c>
      <c r="G36" s="9" t="n">
        <f aca="false">README!$B$25/(README!$B$25+(1-README!$B$25)*C36)</f>
        <v>0.623894979175665</v>
      </c>
      <c r="H36" s="9" t="n">
        <f aca="false">B36*G36</f>
        <v>0.492613671957262</v>
      </c>
      <c r="I36" s="10" t="n">
        <f aca="false">B36+D36+E36+F36</f>
        <v>1</v>
      </c>
    </row>
    <row r="37" customFormat="false" ht="15" hidden="false" customHeight="false" outlineLevel="0" collapsed="false">
      <c r="A37" s="9" t="n">
        <v>0.08</v>
      </c>
      <c r="B37" s="9" t="n">
        <v>0.785779258564636</v>
      </c>
      <c r="C37" s="9" t="n">
        <v>0.264093232997419</v>
      </c>
      <c r="D37" s="9" t="n">
        <v>0</v>
      </c>
      <c r="E37" s="9" t="n">
        <v>0.0515171081031871</v>
      </c>
      <c r="F37" s="9" t="n">
        <v>0.162703633332178</v>
      </c>
      <c r="G37" s="9" t="n">
        <f aca="false">README!$B$25/(README!$B$25+(1-README!$B$25)*C37)</f>
        <v>0.618728588810548</v>
      </c>
      <c r="H37" s="9" t="n">
        <f aca="false">B37*G37</f>
        <v>0.486184091768296</v>
      </c>
      <c r="I37" s="10" t="n">
        <f aca="false">B37+D37+E37+F37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2" t="s">
        <v>53</v>
      </c>
    </row>
    <row r="2" customFormat="false" ht="15" hidden="false" customHeight="false" outlineLevel="0" collapsed="false">
      <c r="A2" s="7" t="s">
        <v>47</v>
      </c>
    </row>
    <row r="4" customFormat="false" ht="30" hidden="false" customHeight="true" outlineLevel="0" collapsed="false">
      <c r="A4" s="8" t="s">
        <v>54</v>
      </c>
      <c r="B4" s="8" t="s">
        <v>23</v>
      </c>
      <c r="C4" s="8" t="s">
        <v>49</v>
      </c>
      <c r="D4" s="8" t="s">
        <v>50</v>
      </c>
      <c r="E4" s="8" t="s">
        <v>31</v>
      </c>
      <c r="F4" s="8" t="s">
        <v>51</v>
      </c>
      <c r="G4" s="8" t="s">
        <v>27</v>
      </c>
      <c r="H4" s="8" t="s">
        <v>29</v>
      </c>
      <c r="I4" s="8" t="s">
        <v>52</v>
      </c>
    </row>
    <row r="5" customFormat="false" ht="15" hidden="false" customHeight="false" outlineLevel="0" collapsed="false">
      <c r="A5" s="11" t="n">
        <v>0</v>
      </c>
      <c r="B5" s="9" t="n">
        <v>0.939805334088271</v>
      </c>
      <c r="C5" s="9" t="n">
        <v>0.0235855445632262</v>
      </c>
      <c r="D5" s="9" t="n">
        <v>0</v>
      </c>
      <c r="E5" s="9" t="n">
        <v>0.0416356180032044</v>
      </c>
      <c r="F5" s="9" t="n">
        <v>0.0185590479085361</v>
      </c>
      <c r="G5" s="9" t="n">
        <f aca="false">README!$B$25/(README!$B$25+(1-README!$B$25)*C5)</f>
        <v>0.947837706892553</v>
      </c>
      <c r="H5" s="9" t="n">
        <f aca="false">B5*G5</f>
        <v>0.890782932787616</v>
      </c>
      <c r="I5" s="10" t="n">
        <f aca="false">B5+D5+E5+F5</f>
        <v>1.00000000000001</v>
      </c>
    </row>
    <row r="6" customFormat="false" ht="15" hidden="false" customHeight="false" outlineLevel="0" collapsed="false">
      <c r="A6" s="11" t="n">
        <v>0.02</v>
      </c>
      <c r="B6" s="9" t="n">
        <v>0.925789439994756</v>
      </c>
      <c r="C6" s="9" t="n">
        <v>0.0392002088571265</v>
      </c>
      <c r="D6" s="9" t="n">
        <v>0</v>
      </c>
      <c r="E6" s="9" t="n">
        <v>0.0417137733731275</v>
      </c>
      <c r="F6" s="9" t="n">
        <v>0.0324967866321278</v>
      </c>
      <c r="G6" s="9" t="n">
        <f aca="false">README!$B$25/(README!$B$25+(1-README!$B$25)*C6)</f>
        <v>0.916197978413957</v>
      </c>
      <c r="H6" s="9" t="n">
        <f aca="false">B6*G6</f>
        <v>0.848206413360184</v>
      </c>
      <c r="I6" s="10" t="n">
        <f aca="false">B6+D6+E6+F6</f>
        <v>1.00000000000001</v>
      </c>
    </row>
    <row r="7" customFormat="false" ht="15" hidden="false" customHeight="false" outlineLevel="0" collapsed="false">
      <c r="A7" s="11" t="n">
        <v>0.04</v>
      </c>
      <c r="B7" s="9" t="n">
        <v>0.912335743429771</v>
      </c>
      <c r="C7" s="9" t="n">
        <v>0.0543946805981915</v>
      </c>
      <c r="D7" s="9" t="n">
        <v>0</v>
      </c>
      <c r="E7" s="9" t="n">
        <v>0.0417915204837202</v>
      </c>
      <c r="F7" s="9" t="n">
        <v>0.0458727360865073</v>
      </c>
      <c r="G7" s="9" t="n">
        <f aca="false">README!$B$25/(README!$B$25+(1-README!$B$25)*C7)</f>
        <v>0.887373710980023</v>
      </c>
      <c r="H7" s="9" t="n">
        <f aca="false">B7*G7</f>
        <v>0.809582754306993</v>
      </c>
      <c r="I7" s="10" t="n">
        <f aca="false">B7+D7+E7+F7</f>
        <v>0.999999999999998</v>
      </c>
    </row>
    <row r="8" customFormat="false" ht="15" hidden="false" customHeight="false" outlineLevel="0" collapsed="false">
      <c r="A8" s="11" t="n">
        <v>0.06</v>
      </c>
      <c r="B8" s="9" t="n">
        <v>0.899403399137521</v>
      </c>
      <c r="C8" s="9" t="n">
        <v>0.0691856432421707</v>
      </c>
      <c r="D8" s="9" t="n">
        <v>0</v>
      </c>
      <c r="E8" s="9" t="n">
        <v>0.0418688743898612</v>
      </c>
      <c r="F8" s="9" t="n">
        <v>0.0587277264726239</v>
      </c>
      <c r="G8" s="9" t="n">
        <f aca="false">README!$B$25/(README!$B$25+(1-README!$B$25)*C8)</f>
        <v>0.861005202818938</v>
      </c>
      <c r="H8" s="9" t="n">
        <f aca="false">B8*G8</f>
        <v>0.774391006090443</v>
      </c>
      <c r="I8" s="10" t="n">
        <f aca="false">B8+D8+E8+F8</f>
        <v>1.00000000000001</v>
      </c>
    </row>
    <row r="9" customFormat="false" ht="15" hidden="false" customHeight="false" outlineLevel="0" collapsed="false">
      <c r="A9" s="11" t="n">
        <v>0.08</v>
      </c>
      <c r="B9" s="9" t="n">
        <v>0.886955791074307</v>
      </c>
      <c r="C9" s="9" t="n">
        <v>0.0835887298069401</v>
      </c>
      <c r="D9" s="9" t="n">
        <v>0</v>
      </c>
      <c r="E9" s="9" t="n">
        <v>0.0419458450493407</v>
      </c>
      <c r="F9" s="9" t="n">
        <v>0.0710983638763548</v>
      </c>
      <c r="G9" s="9" t="n">
        <f aca="false">README!$B$25/(README!$B$25+(1-README!$B$25)*C9)</f>
        <v>0.836791815139226</v>
      </c>
      <c r="H9" s="9" t="n">
        <f aca="false">B9*G9</f>
        <v>0.742197346361318</v>
      </c>
      <c r="I9" s="10" t="n">
        <f aca="false">B9+D9+E9+F9</f>
        <v>1</v>
      </c>
    </row>
    <row r="10" customFormat="false" ht="15" hidden="false" customHeight="false" outlineLevel="0" collapsed="false">
      <c r="A10" s="11" t="n">
        <v>0.1</v>
      </c>
      <c r="B10" s="9" t="n">
        <v>0.874959980243263</v>
      </c>
      <c r="C10" s="9" t="n">
        <v>0.09761862138112</v>
      </c>
      <c r="D10" s="9" t="n">
        <v>0</v>
      </c>
      <c r="E10" s="9" t="n">
        <v>0.0420224427120262</v>
      </c>
      <c r="F10" s="9" t="n">
        <v>0.0830175770447127</v>
      </c>
      <c r="G10" s="9" t="n">
        <f aca="false">README!$B$25/(README!$B$25+(1-README!$B$25)*C10)</f>
        <v>0.814480297774686</v>
      </c>
      <c r="H10" s="9" t="n">
        <f aca="false">B10*G10</f>
        <v>0.712637665249466</v>
      </c>
      <c r="I10" s="10" t="n">
        <f aca="false">B10+D10+E10+F10</f>
        <v>1</v>
      </c>
    </row>
    <row r="11" customFormat="false" ht="15" hidden="false" customHeight="false" outlineLevel="0" collapsed="false">
      <c r="A11" s="11" t="n">
        <v>0.12</v>
      </c>
      <c r="B11" s="9" t="n">
        <v>0.863386241368926</v>
      </c>
      <c r="C11" s="9" t="n">
        <v>0.111289133064681</v>
      </c>
      <c r="D11" s="9" t="n">
        <v>0</v>
      </c>
      <c r="E11" s="9" t="n">
        <v>0.0420986778879546</v>
      </c>
      <c r="F11" s="9" t="n">
        <v>0.094515080743124</v>
      </c>
      <c r="G11" s="9" t="n">
        <f aca="false">README!$B$25/(README!$B$25+(1-README!$B$25)*C11)</f>
        <v>0.793855782449811</v>
      </c>
      <c r="H11" s="9" t="n">
        <f aca="false">B11*G11</f>
        <v>0.68540416019833</v>
      </c>
      <c r="I11" s="10" t="n">
        <f aca="false">B11+D11+E11+F11</f>
        <v>1</v>
      </c>
    </row>
    <row r="12" customFormat="false" ht="15" hidden="false" customHeight="false" outlineLevel="0" collapsed="false">
      <c r="A12" s="11" t="n">
        <v>0.14</v>
      </c>
      <c r="B12" s="9" t="n">
        <v>0.852207668536887</v>
      </c>
      <c r="C12" s="9" t="n">
        <v>0.124613289337448</v>
      </c>
      <c r="D12" s="9" t="n">
        <v>0</v>
      </c>
      <c r="E12" s="9" t="n">
        <v>0.0421745613155112</v>
      </c>
      <c r="F12" s="9" t="n">
        <v>0.105617770147608</v>
      </c>
      <c r="G12" s="9" t="n">
        <f aca="false">README!$B$25/(README!$B$25+(1-README!$B$25)*C12)</f>
        <v>0.774734758023494</v>
      </c>
      <c r="H12" s="9" t="n">
        <f aca="false">B12*G12</f>
        <v>0.660234901869691</v>
      </c>
      <c r="I12" s="10" t="n">
        <f aca="false">B12+D12+E12+F12</f>
        <v>1.00000000000001</v>
      </c>
    </row>
    <row r="13" customFormat="false" ht="15" hidden="false" customHeight="false" outlineLevel="0" collapsed="false">
      <c r="A13" s="11" t="n">
        <v>0.16</v>
      </c>
      <c r="B13" s="9" t="n">
        <v>0.84139983807233</v>
      </c>
      <c r="C13" s="9" t="n">
        <v>0.137603390480945</v>
      </c>
      <c r="D13" s="9" t="n">
        <v>0</v>
      </c>
      <c r="E13" s="9" t="n">
        <v>0.0422501039301247</v>
      </c>
      <c r="F13" s="9" t="n">
        <v>0.116350057997539</v>
      </c>
      <c r="G13" s="9" t="n">
        <f aca="false">README!$B$25/(README!$B$25+(1-README!$B$25)*C13)</f>
        <v>0.756959536435661</v>
      </c>
      <c r="H13" s="9" t="n">
        <f aca="false">B13*G13</f>
        <v>0.636905631384271</v>
      </c>
      <c r="I13" s="10" t="n">
        <f aca="false">B13+D13+E13+F13</f>
        <v>0.999999999999994</v>
      </c>
    </row>
    <row r="14" customFormat="false" ht="15" hidden="false" customHeight="false" outlineLevel="0" collapsed="false">
      <c r="A14" s="11" t="n">
        <v>0.18</v>
      </c>
      <c r="B14" s="9" t="n">
        <v>0.830940519158672</v>
      </c>
      <c r="C14" s="9" t="n">
        <v>0.150271071385885</v>
      </c>
      <c r="D14" s="9" t="n">
        <v>0</v>
      </c>
      <c r="E14" s="9" t="n">
        <v>0.0423253168338745</v>
      </c>
      <c r="F14" s="9" t="n">
        <v>0.12673416400745</v>
      </c>
      <c r="G14" s="9" t="n">
        <f aca="false">README!$B$25/(README!$B$25+(1-README!$B$25)*C14)</f>
        <v>0.740393852564443</v>
      </c>
      <c r="H14" s="9" t="n">
        <f aca="false">B14*G14</f>
        <v>0.615223252231787</v>
      </c>
      <c r="I14" s="10" t="n">
        <f aca="false">B14+D14+E14+F14</f>
        <v>0.999999999999996</v>
      </c>
    </row>
    <row r="15" customFormat="false" ht="15" hidden="false" customHeight="false" outlineLevel="0" collapsed="false">
      <c r="A15" s="11" t="n">
        <v>0.2</v>
      </c>
      <c r="B15" s="9" t="n">
        <v>0.820809424459734</v>
      </c>
      <c r="C15" s="9" t="n">
        <v>0.162627353844116</v>
      </c>
      <c r="D15" s="9" t="n">
        <v>0</v>
      </c>
      <c r="E15" s="9" t="n">
        <v>0.0424002112661787</v>
      </c>
      <c r="F15" s="9" t="n">
        <v>0.136790364274084</v>
      </c>
      <c r="G15" s="9" t="n">
        <f aca="false">README!$B$25/(README!$B$25+(1-README!$B$25)*C15)</f>
        <v>0.72491933562575</v>
      </c>
      <c r="H15" s="9" t="n">
        <f aca="false">B15*G15</f>
        <v>0.595020622654704</v>
      </c>
      <c r="I15" s="10" t="n">
        <f aca="false">B15+D15+E15+F15</f>
        <v>0.999999999999997</v>
      </c>
    </row>
    <row r="16" customFormat="false" ht="15" hidden="false" customHeight="false" outlineLevel="0" collapsed="false">
      <c r="A16" s="11" t="n">
        <v>0.22</v>
      </c>
      <c r="B16" s="9" t="n">
        <v>0.810987994411857</v>
      </c>
      <c r="C16" s="9" t="n">
        <v>0.174682693236386</v>
      </c>
      <c r="D16" s="9" t="n">
        <v>0</v>
      </c>
      <c r="E16" s="9" t="n">
        <v>0.0424747985756504</v>
      </c>
      <c r="F16" s="9" t="n">
        <v>0.146537207012483</v>
      </c>
      <c r="G16" s="9" t="n">
        <f aca="false">README!$B$25/(README!$B$25+(1-README!$B$25)*C16)</f>
        <v>0.710432656949112</v>
      </c>
      <c r="H16" s="9" t="n">
        <f aca="false">B16*G16</f>
        <v>0.576152355623847</v>
      </c>
      <c r="I16" s="10" t="n">
        <f aca="false">B16+D16+E16+F16</f>
        <v>0.999999999999991</v>
      </c>
    </row>
    <row r="17" customFormat="false" ht="15" hidden="false" customHeight="false" outlineLevel="0" collapsed="false">
      <c r="A17" s="11" t="n">
        <v>0.24</v>
      </c>
      <c r="B17" s="9" t="n">
        <v>0.801459209974668</v>
      </c>
      <c r="C17" s="9" t="n">
        <v>0.186447020376339</v>
      </c>
      <c r="D17" s="9" t="n">
        <v>0</v>
      </c>
      <c r="E17" s="9" t="n">
        <v>0.0425490901931169</v>
      </c>
      <c r="F17" s="9" t="n">
        <v>0.155991699832232</v>
      </c>
      <c r="G17" s="9" t="n">
        <f aca="false">README!$B$25/(README!$B$25+(1-README!$B$25)*C17)</f>
        <v>0.696843207394298</v>
      </c>
      <c r="H17" s="9" t="n">
        <f aca="false">B17*G17</f>
        <v>0.558491406474448</v>
      </c>
      <c r="I17" s="10" t="n">
        <f aca="false">B17+D17+E17+F17</f>
        <v>1.00000000000002</v>
      </c>
    </row>
    <row r="18" customFormat="false" ht="15" hidden="false" customHeight="false" outlineLevel="0" collapsed="false">
      <c r="A18" s="11" t="n">
        <v>0.26</v>
      </c>
      <c r="B18" s="9" t="n">
        <v>0.792207429532832</v>
      </c>
      <c r="C18" s="9" t="n">
        <v>0.197929779148409</v>
      </c>
      <c r="D18" s="9" t="n">
        <v>0</v>
      </c>
      <c r="E18" s="9" t="n">
        <v>0.0426230976057835</v>
      </c>
      <c r="F18" s="9" t="n">
        <v>0.165169472861386</v>
      </c>
      <c r="G18" s="9" t="n">
        <f aca="false">README!$B$25/(README!$B$25+(1-README!$B$25)*C18)</f>
        <v>0.684071192984962</v>
      </c>
      <c r="H18" s="9" t="n">
        <f aca="false">B18*G18</f>
        <v>0.541926281412074</v>
      </c>
      <c r="I18" s="10" t="n">
        <f aca="false">B18+D18+E18+F18</f>
        <v>1</v>
      </c>
    </row>
    <row r="19" customFormat="false" ht="15" hidden="false" customHeight="false" outlineLevel="0" collapsed="false">
      <c r="A19" s="11" t="n">
        <v>0.28</v>
      </c>
      <c r="B19" s="9" t="n">
        <v>0.78321824637246</v>
      </c>
      <c r="C19" s="9" t="n">
        <v>0.209139960477106</v>
      </c>
      <c r="D19" s="9" t="n">
        <v>0</v>
      </c>
      <c r="E19" s="9" t="n">
        <v>0.0426968323325631</v>
      </c>
      <c r="F19" s="9" t="n">
        <v>0.174084921294981</v>
      </c>
      <c r="G19" s="9" t="n">
        <f aca="false">README!$B$25/(README!$B$25+(1-README!$B$25)*C19)</f>
        <v>0.672046063362389</v>
      </c>
      <c r="H19" s="9" t="n">
        <f aca="false">B19*G19</f>
        <v>0.526358739228205</v>
      </c>
      <c r="I19" s="10" t="n">
        <f aca="false">B19+D19+E19+F19</f>
        <v>1</v>
      </c>
    </row>
    <row r="20" customFormat="false" ht="15" hidden="false" customHeight="false" outlineLevel="0" collapsed="false">
      <c r="A20" s="11" t="n">
        <v>0.3</v>
      </c>
      <c r="B20" s="9" t="n">
        <v>0.774478363748944</v>
      </c>
      <c r="C20" s="9" t="n">
        <v>0.220086133083127</v>
      </c>
      <c r="D20" s="9" t="n">
        <v>0</v>
      </c>
      <c r="E20" s="9" t="n">
        <v>0.0427703059005088</v>
      </c>
      <c r="F20" s="9" t="n">
        <v>0.182751330350551</v>
      </c>
      <c r="G20" s="9" t="n">
        <f aca="false">README!$B$25/(README!$B$25+(1-README!$B$25)*C20)</f>
        <v>0.660705207040607</v>
      </c>
      <c r="H20" s="9" t="n">
        <f aca="false">B20*G20</f>
        <v>0.511701887669217</v>
      </c>
      <c r="I20" s="10" t="n">
        <f aca="false">B20+D20+E20+F20</f>
        <v>1</v>
      </c>
    </row>
    <row r="21" customFormat="false" ht="15" hidden="false" customHeight="false" outlineLevel="0" collapsed="false">
      <c r="A21" s="11" t="n">
        <v>0.32</v>
      </c>
      <c r="B21" s="9" t="n">
        <v>0.765975485049602</v>
      </c>
      <c r="C21" s="9" t="n">
        <v>0.230776471413798</v>
      </c>
      <c r="D21" s="9" t="n">
        <v>0</v>
      </c>
      <c r="E21" s="9" t="n">
        <v>0.0428435298223745</v>
      </c>
      <c r="F21" s="9" t="n">
        <v>0.191180985128018</v>
      </c>
      <c r="G21" s="9" t="n">
        <f aca="false">README!$B$25/(README!$B$25+(1-README!$B$25)*C21)</f>
        <v>0.649992862009618</v>
      </c>
      <c r="H21" s="9" t="n">
        <f aca="false">B21*G21</f>
        <v>0.497878597756596</v>
      </c>
      <c r="I21" s="10" t="n">
        <f aca="false">B21+D21+E21+F21</f>
        <v>0.999999999999994</v>
      </c>
    </row>
    <row r="22" customFormat="false" ht="15" hidden="false" customHeight="false" outlineLevel="0" collapsed="false">
      <c r="A22" s="11" t="n">
        <v>0.34</v>
      </c>
      <c r="B22" s="9" t="n">
        <v>0.757698216951567</v>
      </c>
      <c r="C22" s="9" t="n">
        <v>0.241218781079205</v>
      </c>
      <c r="D22" s="9" t="n">
        <v>0</v>
      </c>
      <c r="E22" s="9" t="n">
        <v>0.042916515575255</v>
      </c>
      <c r="F22" s="9" t="n">
        <v>0.199385267473178</v>
      </c>
      <c r="G22" s="9" t="n">
        <f aca="false">README!$B$25/(README!$B$25+(1-README!$B$25)*C22)</f>
        <v>0.639859201278821</v>
      </c>
      <c r="H22" s="9" t="n">
        <f aca="false">B22*G22</f>
        <v>0.484820175909017</v>
      </c>
      <c r="I22" s="10" t="n">
        <f aca="false">B22+D22+E22+F22</f>
        <v>1</v>
      </c>
    </row>
    <row r="23" customFormat="false" ht="15" hidden="false" customHeight="false" outlineLevel="0" collapsed="false">
      <c r="A23" s="11" t="n">
        <v>0.36</v>
      </c>
      <c r="B23" s="9" t="n">
        <v>0.749635983803943</v>
      </c>
      <c r="C23" s="9" t="n">
        <v>0.251420522078534</v>
      </c>
      <c r="D23" s="9" t="n">
        <v>0</v>
      </c>
      <c r="E23" s="9" t="n">
        <v>0.0429892745802987</v>
      </c>
      <c r="F23" s="9" t="n">
        <v>0.20737474161576</v>
      </c>
      <c r="G23" s="9" t="n">
        <f aca="false">README!$B$25/(README!$B$25+(1-README!$B$25)*C23)</f>
        <v>0.630259561398901</v>
      </c>
      <c r="H23" s="9" t="n">
        <f aca="false">B23*G23</f>
        <v>0.472465246361107</v>
      </c>
      <c r="I23" s="10" t="n">
        <f aca="false">B23+D23+E23+F23</f>
        <v>1</v>
      </c>
    </row>
    <row r="24" customFormat="false" ht="15" hidden="false" customHeight="false" outlineLevel="0" collapsed="false">
      <c r="A24" s="11" t="n">
        <v>0.38</v>
      </c>
      <c r="B24" s="9" t="n">
        <v>0.741778951734653</v>
      </c>
      <c r="C24" s="9" t="n">
        <v>0.261388830061861</v>
      </c>
      <c r="D24" s="9" t="n">
        <v>0</v>
      </c>
      <c r="E24" s="9" t="n">
        <v>0.0430618181834658</v>
      </c>
      <c r="F24" s="9" t="n">
        <v>0.215159230081877</v>
      </c>
      <c r="G24" s="9" t="n">
        <f aca="false">README!$B$25/(README!$B$25+(1-README!$B$25)*C24)</f>
        <v>0.621153788510031</v>
      </c>
      <c r="H24" s="9" t="n">
        <f aca="false">B24*G24</f>
        <v>0.460758806106979</v>
      </c>
      <c r="I24" s="10" t="n">
        <f aca="false">B24+D24+E24+F24</f>
        <v>0.999999999999995</v>
      </c>
    </row>
    <row r="25" customFormat="false" ht="15" hidden="false" customHeight="false" outlineLevel="0" collapsed="false">
      <c r="A25" s="11" t="n">
        <v>0.4</v>
      </c>
      <c r="B25" s="9" t="n">
        <v>0.734117961207621</v>
      </c>
      <c r="C25" s="9" t="n">
        <v>0.271130535839786</v>
      </c>
      <c r="D25" s="9" t="n">
        <v>0</v>
      </c>
      <c r="E25" s="9" t="n">
        <v>0.043134157637314</v>
      </c>
      <c r="F25" s="9" t="n">
        <v>0.22274788115506</v>
      </c>
      <c r="G25" s="9" t="n">
        <f aca="false">README!$B$25/(README!$B$25+(1-README!$B$25)*C25)</f>
        <v>0.612505681518363</v>
      </c>
      <c r="H25" s="9" t="n">
        <f aca="false">B25*G25</f>
        <v>0.449651422144345</v>
      </c>
      <c r="I25" s="10" t="n">
        <f aca="false">B25+D25+E25+F25</f>
        <v>0.999999999999995</v>
      </c>
    </row>
    <row r="26" customFormat="false" ht="15" hidden="false" customHeight="false" outlineLevel="0" collapsed="false">
      <c r="A26" s="11" t="n">
        <v>0.42</v>
      </c>
      <c r="B26" s="9" t="n">
        <v>0.72664446694406</v>
      </c>
      <c r="C26" s="9" t="n">
        <v>0.28065218332533</v>
      </c>
      <c r="D26" s="9" t="n">
        <v>0</v>
      </c>
      <c r="E26" s="9" t="n">
        <v>0.0432063040837777</v>
      </c>
      <c r="F26" s="9" t="n">
        <v>0.230149228972161</v>
      </c>
      <c r="G26" s="9" t="n">
        <f aca="false">README!$B$25/(README!$B$25+(1-README!$B$25)*C26)</f>
        <v>0.604282515954665</v>
      </c>
      <c r="H26" s="9" t="n">
        <f aca="false">B26*G26</f>
        <v>0.439098546689493</v>
      </c>
      <c r="I26" s="10" t="n">
        <f aca="false">B26+D26+E26+F26</f>
        <v>0.999999999999999</v>
      </c>
    </row>
    <row r="27" customFormat="false" ht="15" hidden="false" customHeight="false" outlineLevel="0" collapsed="false">
      <c r="A27" s="11" t="n">
        <v>0.44</v>
      </c>
      <c r="B27" s="9" t="n">
        <v>0.719350484278935</v>
      </c>
      <c r="C27" s="9" t="n">
        <v>0.289960046069051</v>
      </c>
      <c r="D27" s="9" t="n">
        <v>0</v>
      </c>
      <c r="E27" s="9" t="n">
        <v>0.0432782685379283</v>
      </c>
      <c r="F27" s="9" t="n">
        <v>0.23737124718313</v>
      </c>
      <c r="G27" s="9" t="n">
        <f aca="false">README!$B$25/(README!$B$25+(1-README!$B$25)*C27)</f>
        <v>0.596454635179157</v>
      </c>
      <c r="H27" s="9" t="n">
        <f aca="false">B27*G27</f>
        <v>0.429059930666542</v>
      </c>
      <c r="I27" s="10" t="n">
        <f aca="false">B27+D27+E27+F27</f>
        <v>0.999999999999993</v>
      </c>
    </row>
    <row r="28" customFormat="false" ht="15" hidden="false" customHeight="false" outlineLevel="0" collapsed="false">
      <c r="A28" s="11" t="n">
        <v>0.46</v>
      </c>
      <c r="B28" s="9" t="n">
        <v>0.712228541155725</v>
      </c>
      <c r="C28" s="9" t="n">
        <v>0.299060142528146</v>
      </c>
      <c r="D28" s="9" t="n">
        <v>0</v>
      </c>
      <c r="E28" s="9" t="n">
        <v>0.0433500618726816</v>
      </c>
      <c r="F28" s="9" t="n">
        <v>0.244421396971599</v>
      </c>
      <c r="G28" s="9" t="n">
        <f aca="false">README!$B$25/(README!$B$25+(1-README!$B$25)*C28)</f>
        <v>0.588995098060114</v>
      </c>
      <c r="H28" s="9" t="n">
        <f aca="false">B28*G28</f>
        <v>0.419499119439228</v>
      </c>
      <c r="I28" s="10" t="n">
        <f aca="false">B28+D28+E28+F28</f>
        <v>1.00000000000001</v>
      </c>
    </row>
    <row r="29" customFormat="false" ht="15" hidden="false" customHeight="false" outlineLevel="0" collapsed="false">
      <c r="A29" s="11" t="n">
        <v>0.48</v>
      </c>
      <c r="B29" s="9" t="n">
        <v>0.705271635073774</v>
      </c>
      <c r="C29" s="9" t="n">
        <v>0.307958250193167</v>
      </c>
      <c r="D29" s="9" t="n">
        <v>0</v>
      </c>
      <c r="E29" s="9" t="n">
        <v>0.0434216948044254</v>
      </c>
      <c r="F29" s="9" t="n">
        <v>0.251306670121806</v>
      </c>
      <c r="G29" s="9" t="n">
        <f aca="false">README!$B$25/(README!$B$25+(1-README!$B$25)*C29)</f>
        <v>0.581879374216508</v>
      </c>
      <c r="H29" s="9" t="n">
        <f aca="false">B29*G29</f>
        <v>0.410383017669381</v>
      </c>
      <c r="I29" s="10" t="n">
        <f aca="false">B29+D29+E29+F29</f>
        <v>1.00000000000001</v>
      </c>
    </row>
    <row r="30" customFormat="false" ht="15" hidden="false" customHeight="false" outlineLevel="0" collapsed="false">
      <c r="A30" s="11" t="n">
        <v>0.5</v>
      </c>
      <c r="B30" s="9" t="n">
        <v>0.6984731943969</v>
      </c>
      <c r="C30" s="9" t="n">
        <v>0.316659918681307</v>
      </c>
      <c r="D30" s="9" t="n">
        <v>0</v>
      </c>
      <c r="E30" s="9" t="n">
        <v>0.0434931778795505</v>
      </c>
      <c r="F30" s="9" t="n">
        <v>0.258033627723543</v>
      </c>
      <c r="G30" s="9" t="n">
        <f aca="false">README!$B$25/(README!$B$25+(1-README!$B$25)*C30)</f>
        <v>0.575085079487517</v>
      </c>
      <c r="H30" s="9" t="n">
        <f aca="false">B30*G30</f>
        <v>0.401681512519641</v>
      </c>
      <c r="I30" s="10" t="n">
        <f aca="false">B30+D30+E30+F30</f>
        <v>0.999999999999994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9"/>
  </cols>
  <sheetData>
    <row r="1" customFormat="false" ht="15" hidden="false" customHeight="false" outlineLevel="0" collapsed="false">
      <c r="A1" s="2" t="s">
        <v>55</v>
      </c>
    </row>
    <row r="2" customFormat="false" ht="15" hidden="false" customHeight="false" outlineLevel="0" collapsed="false">
      <c r="A2" s="7" t="s">
        <v>56</v>
      </c>
    </row>
    <row r="4" customFormat="false" ht="15" hidden="false" customHeight="false" outlineLevel="0" collapsed="false">
      <c r="A4" s="12" t="s">
        <v>57</v>
      </c>
      <c r="B4" s="13" t="n">
        <v>0.0209376026785931</v>
      </c>
      <c r="C4" s="13" t="n">
        <v>0.0971829311637479</v>
      </c>
      <c r="D4" s="13" t="n">
        <v>0.186447020376339</v>
      </c>
      <c r="E4" s="13" t="n">
        <v>0.264093232997419</v>
      </c>
    </row>
    <row r="5" customFormat="false" ht="30" hidden="false" customHeight="true" outlineLevel="0" collapsed="false">
      <c r="A5" s="8" t="s">
        <v>58</v>
      </c>
      <c r="B5" s="8" t="s">
        <v>59</v>
      </c>
      <c r="C5" s="8" t="s">
        <v>60</v>
      </c>
      <c r="D5" s="8" t="s">
        <v>61</v>
      </c>
      <c r="E5" s="8" t="s">
        <v>62</v>
      </c>
    </row>
    <row r="6" customFormat="false" ht="15" hidden="false" customHeight="false" outlineLevel="0" collapsed="false">
      <c r="A6" s="14" t="n">
        <v>0.15</v>
      </c>
      <c r="B6" s="9" t="n">
        <f aca="false">$A6/($A6+(1-$A6)*B$4)</f>
        <v>0.893937518085425</v>
      </c>
      <c r="C6" s="9" t="n">
        <f aca="false">$A6/($A6+(1-$A6)*C$4)</f>
        <v>0.644868696089979</v>
      </c>
      <c r="D6" s="9" t="n">
        <f aca="false">$A6/($A6+(1-$A6)*D$4)</f>
        <v>0.486255238235464</v>
      </c>
      <c r="E6" s="9" t="n">
        <f aca="false">$A6/($A6+(1-$A6)*E$4)</f>
        <v>0.400556241185496</v>
      </c>
    </row>
    <row r="7" customFormat="false" ht="15" hidden="false" customHeight="false" outlineLevel="0" collapsed="false">
      <c r="A7" s="14" t="n">
        <v>0.175</v>
      </c>
      <c r="B7" s="9" t="n">
        <f aca="false">$A7/($A7+(1-$A7)*B$4)</f>
        <v>0.91016172163847</v>
      </c>
      <c r="C7" s="9" t="n">
        <f aca="false">$A7/($A7+(1-$A7)*C$4)</f>
        <v>0.685801392339533</v>
      </c>
      <c r="D7" s="9" t="n">
        <f aca="false">$A7/($A7+(1-$A7)*D$4)</f>
        <v>0.532208025692353</v>
      </c>
      <c r="E7" s="9" t="n">
        <f aca="false">$A7/($A7+(1-$A7)*E$4)</f>
        <v>0.445432124740294</v>
      </c>
    </row>
    <row r="8" customFormat="false" ht="15" hidden="false" customHeight="false" outlineLevel="0" collapsed="false">
      <c r="A8" s="14" t="n">
        <v>0.2</v>
      </c>
      <c r="B8" s="9" t="n">
        <f aca="false">$A8/($A8+(1-$A8)*B$4)</f>
        <v>0.922721680299833</v>
      </c>
      <c r="C8" s="9" t="n">
        <f aca="false">$A8/($A8+(1-$A8)*C$4)</f>
        <v>0.720081483159344</v>
      </c>
      <c r="D8" s="9" t="n">
        <f aca="false">$A8/($A8+(1-$A8)*D$4)</f>
        <v>0.572807209874937</v>
      </c>
      <c r="E8" s="9" t="n">
        <f aca="false">$A8/($A8+(1-$A8)*E$4)</f>
        <v>0.486293115632695</v>
      </c>
    </row>
    <row r="9" customFormat="false" ht="15" hidden="false" customHeight="false" outlineLevel="0" collapsed="false">
      <c r="A9" s="14" t="n">
        <v>0.225</v>
      </c>
      <c r="B9" s="9" t="n">
        <f aca="false">$A9/($A9+(1-$A9)*B$4)</f>
        <v>0.932732794618915</v>
      </c>
      <c r="C9" s="9" t="n">
        <f aca="false">$A9/($A9+(1-$A9)*C$4)</f>
        <v>0.749208906190548</v>
      </c>
      <c r="D9" s="9" t="n">
        <f aca="false">$A9/($A9+(1-$A9)*D$4)</f>
        <v>0.608936853404941</v>
      </c>
      <c r="E9" s="9" t="n">
        <f aca="false">$A9/($A9+(1-$A9)*E$4)</f>
        <v>0.523654941834552</v>
      </c>
    </row>
    <row r="10" customFormat="false" ht="15" hidden="false" customHeight="false" outlineLevel="0" collapsed="false">
      <c r="A10" s="14" t="n">
        <v>0.25</v>
      </c>
      <c r="B10" s="9" t="n">
        <f aca="false">$A10/($A10+(1-$A10)*B$4)</f>
        <v>0.940899462670321</v>
      </c>
      <c r="C10" s="9" t="n">
        <f aca="false">$A10/($A10+(1-$A10)*C$4)</f>
        <v>0.774264205146176</v>
      </c>
      <c r="D10" s="9" t="n">
        <f aca="false">$A10/($A10+(1-$A10)*D$4)</f>
        <v>0.6412965225683</v>
      </c>
      <c r="E10" s="9" t="n">
        <f aca="false">$A10/($A10+(1-$A10)*E$4)</f>
        <v>0.557948628532851</v>
      </c>
    </row>
    <row r="11" customFormat="false" ht="15" hidden="false" customHeight="false" outlineLevel="0" collapsed="false">
      <c r="A11" s="14" t="n">
        <v>0.275</v>
      </c>
      <c r="B11" s="9" t="n">
        <f aca="false">$A11/($A11+(1-$A11)*B$4)</f>
        <v>0.947688419618267</v>
      </c>
      <c r="C11" s="9" t="n">
        <f aca="false">$A11/($A11+(1-$A11)*C$4)</f>
        <v>0.796045535036017</v>
      </c>
      <c r="D11" s="9" t="n">
        <f aca="false">$A11/($A11+(1-$A11)*D$4)</f>
        <v>0.670447029338921</v>
      </c>
      <c r="E11" s="9" t="n">
        <f aca="false">$A11/($A11+(1-$A11)*E$4)</f>
        <v>0.58953720168891</v>
      </c>
    </row>
    <row r="12" customFormat="false" ht="15" hidden="false" customHeight="false" outlineLevel="0" collapsed="false">
      <c r="A12" s="14" t="n">
        <v>0.3</v>
      </c>
      <c r="B12" s="9" t="n">
        <f aca="false">$A12/($A12+(1-$A12)*B$4)</f>
        <v>0.953421174608286</v>
      </c>
      <c r="C12" s="9" t="n">
        <f aca="false">$A12/($A12+(1-$A12)*C$4)</f>
        <v>0.815155253847635</v>
      </c>
      <c r="D12" s="9" t="n">
        <f aca="false">$A12/($A12+(1-$A12)*D$4)</f>
        <v>0.696843207394298</v>
      </c>
      <c r="E12" s="9" t="n">
        <f aca="false">$A12/($A12+(1-$A12)*E$4)</f>
        <v>0.618728588810548</v>
      </c>
    </row>
    <row r="13" customFormat="false" ht="15" hidden="false" customHeight="false" outlineLevel="0" collapsed="false">
      <c r="A13" s="14" t="n">
        <v>0.325</v>
      </c>
      <c r="B13" s="9" t="n">
        <f aca="false">$A13/($A13+(1-$A13)*B$4)</f>
        <v>0.958326418444881</v>
      </c>
      <c r="C13" s="9" t="n">
        <f aca="false">$A13/($A13+(1-$A13)*C$4)</f>
        <v>0.832056492433155</v>
      </c>
      <c r="D13" s="9" t="n">
        <f aca="false">$A13/($A13+(1-$A13)*D$4)</f>
        <v>0.720857816581052</v>
      </c>
      <c r="E13" s="9" t="n">
        <f aca="false">$A13/($A13+(1-$A13)*E$4)</f>
        <v>0.645785690060587</v>
      </c>
    </row>
    <row r="14" customFormat="false" ht="15" hidden="false" customHeight="false" outlineLevel="0" collapsed="false">
      <c r="A14" s="14" t="n">
        <v>0.35</v>
      </c>
      <c r="B14" s="9" t="n">
        <f aca="false">$A14/($A14+(1-$A14)*B$4)</f>
        <v>0.962571264167622</v>
      </c>
      <c r="C14" s="9" t="n">
        <f aca="false">$A14/($A14+(1-$A14)*C$4)</f>
        <v>0.847111182732326</v>
      </c>
      <c r="D14" s="9" t="n">
        <f aca="false">$A14/($A14+(1-$A14)*D$4)</f>
        <v>0.7427992563983</v>
      </c>
      <c r="E14" s="9" t="n">
        <f aca="false">$A14/($A14+(1-$A14)*E$4)</f>
        <v>0.67093431826799</v>
      </c>
    </row>
    <row r="15" customFormat="false" ht="15" hidden="false" customHeight="false" outlineLevel="0" collapsed="false">
      <c r="A15" s="14" t="n">
        <v>0.375</v>
      </c>
      <c r="B15" s="9" t="n">
        <f aca="false">$A15/($A15+(1-$A15)*B$4)</f>
        <v>0.966280665580128</v>
      </c>
      <c r="C15" s="9" t="n">
        <f aca="false">$A15/($A15+(1-$A15)*C$4)</f>
        <v>0.860606267279767</v>
      </c>
      <c r="D15" s="9" t="n">
        <f aca="false">$A15/($A15+(1-$A15)*D$4)</f>
        <v>0.762924881720427</v>
      </c>
      <c r="E15" s="9" t="n">
        <f aca="false">$A15/($A15+(1-$A15)*E$4)</f>
        <v>0.694369516028593</v>
      </c>
    </row>
    <row r="16" customFormat="false" ht="15" hidden="false" customHeight="false" outlineLevel="0" collapsed="false">
      <c r="A16" s="14" t="n">
        <v>0.4</v>
      </c>
      <c r="B16" s="9" t="n">
        <f aca="false">$A16/($A16+(1-$A16)*B$4)</f>
        <v>0.969549923390485</v>
      </c>
      <c r="C16" s="9" t="n">
        <f aca="false">$A16/($A16+(1-$A16)*C$4)</f>
        <v>0.872772164258802</v>
      </c>
      <c r="D16" s="9" t="n">
        <f aca="false">$A16/($A16+(1-$A16)*D$4)</f>
        <v>0.781451143958801</v>
      </c>
      <c r="E16" s="9" t="n">
        <f aca="false">$A16/($A16+(1-$A16)*E$4)</f>
        <v>0.716260624149439</v>
      </c>
    </row>
    <row r="17" customFormat="false" ht="15" hidden="false" customHeight="false" outlineLevel="0" collapsed="false">
      <c r="A17" s="14" t="n">
        <v>0.425</v>
      </c>
      <c r="B17" s="9" t="n">
        <f aca="false">$A17/($A17+(1-$A17)*B$4)</f>
        <v>0.97245298888172</v>
      </c>
      <c r="C17" s="9" t="n">
        <f aca="false">$A17/($A17+(1-$A17)*C$4)</f>
        <v>0.883796032538859</v>
      </c>
      <c r="D17" s="9" t="n">
        <f aca="false">$A17/($A17+(1-$A17)*D$4)</f>
        <v>0.798561406895633</v>
      </c>
      <c r="E17" s="9" t="n">
        <f aca="false">$A17/($A17+(1-$A17)*E$4)</f>
        <v>0.736755380201691</v>
      </c>
    </row>
    <row r="18" customFormat="false" ht="15" hidden="false" customHeight="false" outlineLevel="0" collapsed="false">
      <c r="A18" s="14" t="n">
        <v>0.45</v>
      </c>
      <c r="B18" s="9" t="n">
        <f aca="false">$A18/($A18+(1-$A18)*B$4)</f>
        <v>0.975048125263119</v>
      </c>
      <c r="C18" s="9" t="n">
        <f aca="false">$A18/($A18+(1-$A18)*C$4)</f>
        <v>0.893831468566789</v>
      </c>
      <c r="D18" s="9" t="n">
        <f aca="false">$A18/($A18+(1-$A18)*D$4)</f>
        <v>0.814412036345754</v>
      </c>
      <c r="E18" s="9" t="n">
        <f aca="false">$A18/($A18+(1-$A18)*E$4)</f>
        <v>0.755983257019863</v>
      </c>
    </row>
    <row r="19" customFormat="false" ht="15" hidden="false" customHeight="false" outlineLevel="0" collapsed="false">
      <c r="A19" s="14" t="n">
        <v>0.475</v>
      </c>
      <c r="B19" s="9" t="n">
        <f aca="false">$A19/($A19+(1-$A19)*B$4)</f>
        <v>0.977381858248489</v>
      </c>
      <c r="C19" s="9" t="n">
        <f aca="false">$A19/($A19+(1-$A19)*C$4)</f>
        <v>0.903005706822208</v>
      </c>
      <c r="D19" s="9" t="n">
        <f aca="false">$A19/($A19+(1-$A19)*D$4)</f>
        <v>0.829137192629983</v>
      </c>
      <c r="E19" s="9" t="n">
        <f aca="false">$A19/($A19+(1-$A19)*E$4)</f>
        <v>0.774058200656344</v>
      </c>
    </row>
    <row r="20" customFormat="false" ht="15" hidden="false" customHeight="false" outlineLevel="0" collapsed="false">
      <c r="A20" s="14" t="n">
        <v>0.5</v>
      </c>
      <c r="B20" s="9" t="n">
        <f aca="false">$A20/($A20+(1-$A20)*B$4)</f>
        <v>0.979491790072518</v>
      </c>
      <c r="C20" s="9" t="n">
        <f aca="false">$A20/($A20+(1-$A20)*C$4)</f>
        <v>0.91142504280424</v>
      </c>
      <c r="D20" s="9" t="n">
        <f aca="false">$A20/($A20+(1-$A20)*D$4)</f>
        <v>0.842852637181222</v>
      </c>
      <c r="E20" s="9" t="n">
        <f aca="false">$A20/($A20+(1-$A20)*E$4)</f>
        <v>0.791080890156179</v>
      </c>
    </row>
    <row r="21" customFormat="false" ht="15" hidden="false" customHeight="false" outlineLevel="0" collapsed="false">
      <c r="A21" s="14" t="n">
        <v>0.525</v>
      </c>
      <c r="B21" s="9" t="n">
        <f aca="false">$A21/($A21+(1-$A21)*B$4)</f>
        <v>0.981408640970963</v>
      </c>
      <c r="C21" s="9" t="n">
        <f aca="false">$A21/($A21+(1-$A21)*C$4)</f>
        <v>0.919178970227395</v>
      </c>
      <c r="D21" s="9" t="n">
        <f aca="false">$A21/($A21+(1-$A21)*D$4)</f>
        <v>0.855658782045138</v>
      </c>
      <c r="E21" s="9" t="n">
        <f aca="false">$A21/($A21+(1-$A21)*E$4)</f>
        <v>0.807140613828546</v>
      </c>
    </row>
    <row r="22" customFormat="false" ht="15" hidden="false" customHeight="false" outlineLevel="0" collapsed="false">
      <c r="A22" s="14" t="n">
        <v>0.55</v>
      </c>
      <c r="B22" s="9" t="n">
        <f aca="false">$A22/($A22+(1-$A22)*B$4)</f>
        <v>0.983157754731767</v>
      </c>
      <c r="C22" s="9" t="n">
        <f aca="false">$A22/($A22+(1-$A22)*C$4)</f>
        <v>0.926343374577287</v>
      </c>
      <c r="D22" s="9" t="n">
        <f aca="false">$A22/($A22+(1-$A22)*D$4)</f>
        <v>0.867643152318424</v>
      </c>
      <c r="E22" s="9" t="n">
        <f aca="false">$A22/($A22+(1-$A22)*E$4)</f>
        <v>0.822316835857438</v>
      </c>
    </row>
    <row r="23" customFormat="false" ht="15" hidden="false" customHeight="false" outlineLevel="0" collapsed="false">
      <c r="A23" s="14" t="n">
        <v>0.575</v>
      </c>
      <c r="B23" s="9" t="n">
        <f aca="false">$A23/($A23+(1-$A23)*B$4)</f>
        <v>0.984760225577136</v>
      </c>
      <c r="C23" s="9" t="n">
        <f aca="false">$A23/($A23+(1-$A23)*C$4)</f>
        <v>0.93298302493413</v>
      </c>
      <c r="D23" s="9" t="n">
        <f aca="false">$A23/($A23+(1-$A23)*D$4)</f>
        <v>0.878882389277616</v>
      </c>
      <c r="E23" s="9" t="n">
        <f aca="false">$A23/($A23+(1-$A23)*E$4)</f>
        <v>0.836680511279717</v>
      </c>
    </row>
    <row r="24" customFormat="false" ht="15" hidden="false" customHeight="false" outlineLevel="0" collapsed="false">
      <c r="A24" s="14" t="n">
        <v>0.6</v>
      </c>
      <c r="B24" s="9" t="n">
        <f aca="false">$A24/($A24+(1-$A24)*B$4)</f>
        <v>0.98623375302069</v>
      </c>
      <c r="C24" s="9" t="n">
        <f aca="false">$A24/($A24+(1-$A24)*C$4)</f>
        <v>0.939153537602022</v>
      </c>
      <c r="D24" s="9" t="n">
        <f aca="false">$A24/($A24+(1-$A24)*D$4)</f>
        <v>0.889443891137042</v>
      </c>
      <c r="E24" s="9" t="n">
        <f aca="false">$A24/($A24+(1-$A24)*E$4)</f>
        <v>0.850295195255247</v>
      </c>
    </row>
    <row r="25" customFormat="false" ht="15" hidden="false" customHeight="false" outlineLevel="0" collapsed="false">
      <c r="A25" s="14" t="n">
        <v>0.625</v>
      </c>
      <c r="B25" s="9" t="n">
        <f aca="false">$A25/($A25+(1-$A25)*B$4)</f>
        <v>0.987593298346705</v>
      </c>
      <c r="C25" s="9" t="n">
        <f aca="false">$A25/($A25+(1-$A25)*C$4)</f>
        <v>0.944902937708926</v>
      </c>
      <c r="D25" s="9" t="n">
        <f aca="false">$A25/($A25+(1-$A25)*D$4)</f>
        <v>0.899387165676894</v>
      </c>
      <c r="E25" s="9" t="n">
        <f aca="false">$A25/($A25+(1-$A25)*E$4)</f>
        <v>0.863217983218231</v>
      </c>
    </row>
    <row r="26" customFormat="false" ht="15" hidden="false" customHeight="false" outlineLevel="0" collapsed="false">
      <c r="A26" s="14" t="n">
        <v>0.65</v>
      </c>
      <c r="B26" s="9" t="n">
        <f aca="false">$A26/($A26+(1-$A26)*B$4)</f>
        <v>0.988851594419664</v>
      </c>
      <c r="C26" s="9" t="n">
        <f aca="false">$A26/($A26+(1-$A26)*C$4)</f>
        <v>0.950272911637749</v>
      </c>
      <c r="D26" s="9" t="n">
        <f aca="false">$A26/($A26+(1-$A26)*D$4)</f>
        <v>0.908764952093678</v>
      </c>
      <c r="E26" s="9" t="n">
        <f aca="false">$A26/($A26+(1-$A26)*E$4)</f>
        <v>0.875500311245433</v>
      </c>
    </row>
    <row r="27" customFormat="false" ht="15" hidden="false" customHeight="false" outlineLevel="0" collapsed="false">
      <c r="A27" s="14" t="n">
        <v>0.675</v>
      </c>
      <c r="B27" s="9" t="n">
        <f aca="false">$A27/($A27+(1-$A27)*B$4)</f>
        <v>0.990019545681857</v>
      </c>
      <c r="C27" s="9" t="n">
        <f aca="false">$A27/($A27+(1-$A27)*C$4)</f>
        <v>0.955299819418986</v>
      </c>
      <c r="D27" s="9" t="n">
        <f aca="false">$A27/($A27+(1-$A27)*D$4)</f>
        <v>0.917624156739191</v>
      </c>
      <c r="E27" s="9" t="n">
        <f aca="false">$A27/($A27+(1-$A27)*E$4)</f>
        <v>0.88718864030196</v>
      </c>
    </row>
    <row r="28" customFormat="false" ht="15" hidden="false" customHeight="false" outlineLevel="0" collapsed="false">
      <c r="A28" s="14" t="n">
        <v>0.7</v>
      </c>
      <c r="B28" s="9" t="n">
        <f aca="false">$A28/($A28+(1-$A28)*B$4)</f>
        <v>0.991106544978183</v>
      </c>
      <c r="C28" s="9" t="n">
        <f aca="false">$A28/($A28+(1-$A28)*C$4)</f>
        <v>0.960015519096369</v>
      </c>
      <c r="D28" s="9" t="n">
        <f aca="false">$A28/($A28+(1-$A28)*D$4)</f>
        <v>0.926006637800058</v>
      </c>
      <c r="E28" s="9" t="n">
        <f aca="false">$A28/($A28+(1-$A28)*E$4)</f>
        <v>0.898325043556288</v>
      </c>
    </row>
    <row r="29" customFormat="false" ht="15" hidden="false" customHeight="false" outlineLevel="0" collapsed="false">
      <c r="A29" s="14" t="n">
        <v>0.725</v>
      </c>
      <c r="B29" s="9" t="n">
        <f aca="false">$A29/($A29+(1-$A29)*B$4)</f>
        <v>0.992120726709126</v>
      </c>
      <c r="C29" s="9" t="n">
        <f aca="false">$A29/($A29+(1-$A29)*C$4)</f>
        <v>0.964448042583868</v>
      </c>
      <c r="D29" s="9" t="n">
        <f aca="false">$A29/($A29+(1-$A29)*D$4)</f>
        <v>0.933949866622771</v>
      </c>
      <c r="E29" s="9" t="n">
        <f aca="false">$A29/($A29+(1-$A29)*E$4)</f>
        <v>0.908947712414839</v>
      </c>
    </row>
    <row r="30" customFormat="false" ht="15" hidden="false" customHeight="false" outlineLevel="0" collapsed="false">
      <c r="A30" s="14" t="n">
        <v>0.75</v>
      </c>
      <c r="B30" s="9" t="n">
        <f aca="false">$A30/($A30+(1-$A30)*B$4)</f>
        <v>0.993069170756778</v>
      </c>
      <c r="C30" s="9" t="n">
        <f aca="false">$A30/($A30+(1-$A30)*C$4)</f>
        <v>0.968622153316843</v>
      </c>
      <c r="D30" s="9" t="n">
        <f aca="false">$A30/($A30+(1-$A30)*D$4)</f>
        <v>0.941487487730357</v>
      </c>
      <c r="E30" s="9" t="n">
        <f aca="false">$A30/($A30+(1-$A30)*E$4)</f>
        <v>0.919091394103684</v>
      </c>
    </row>
    <row r="31" customFormat="false" ht="15" hidden="false" customHeight="false" outlineLevel="0" collapsed="false">
      <c r="A31" s="14" t="n">
        <v>0.775</v>
      </c>
      <c r="B31" s="9" t="n">
        <f aca="false">$A31/($A31+(1-$A31)*B$4)</f>
        <v>0.993958068001196</v>
      </c>
      <c r="C31" s="9" t="n">
        <f aca="false">$A31/($A31+(1-$A31)*C$4)</f>
        <v>0.972559809133772</v>
      </c>
      <c r="D31" s="9" t="n">
        <f aca="false">$A31/($A31+(1-$A31)*D$4)</f>
        <v>0.948649795185893</v>
      </c>
      <c r="E31" s="9" t="n">
        <f aca="false">$A31/($A31+(1-$A31)*E$4)</f>
        <v>0.928787771362326</v>
      </c>
    </row>
    <row r="32" customFormat="false" ht="15" hidden="false" customHeight="false" outlineLevel="0" collapsed="false">
      <c r="A32" s="14" t="n">
        <v>0.8</v>
      </c>
      <c r="B32" s="9" t="n">
        <f aca="false">$A32/($A32+(1-$A32)*B$4)</f>
        <v>0.994792855610432</v>
      </c>
      <c r="C32" s="9" t="n">
        <f aca="false">$A32/($A32+(1-$A32)*C$4)</f>
        <v>0.976280548660749</v>
      </c>
      <c r="D32" s="9" t="n">
        <f aca="false">$A32/($A32+(1-$A32)*D$4)</f>
        <v>0.955464139527179</v>
      </c>
      <c r="E32" s="9" t="n">
        <f aca="false">$A32/($A32+(1-$A32)*E$4)</f>
        <v>0.938065792991169</v>
      </c>
    </row>
    <row r="33" customFormat="false" ht="15" hidden="false" customHeight="false" outlineLevel="0" collapsed="false">
      <c r="A33" s="14" t="n">
        <v>0.825</v>
      </c>
      <c r="B33" s="9" t="n">
        <f aca="false">$A33/($A33+(1-$A33)*B$4)</f>
        <v>0.995578328353896</v>
      </c>
      <c r="C33" s="9" t="n">
        <f aca="false">$A33/($A33+(1-$A33)*C$4)</f>
        <v>0.979801815552584</v>
      </c>
      <c r="D33" s="9" t="n">
        <f aca="false">$A33/($A33+(1-$A33)*D$4)</f>
        <v>0.961955276798176</v>
      </c>
      <c r="E33" s="9" t="n">
        <f aca="false">$A33/($A33+(1-$A33)*E$4)</f>
        <v>0.946951962517529</v>
      </c>
    </row>
    <row r="34" customFormat="false" ht="15" hidden="false" customHeight="false" outlineLevel="0" collapsed="false">
      <c r="A34" s="14" t="n">
        <v>0.85</v>
      </c>
      <c r="B34" s="9" t="n">
        <f aca="false">$A34/($A34+(1-$A34)*B$4)</f>
        <v>0.996318730754275</v>
      </c>
      <c r="C34" s="9" t="n">
        <f aca="false">$A34/($A34+(1-$A34)*C$4)</f>
        <v>0.983139231946592</v>
      </c>
      <c r="D34" s="9" t="n">
        <f aca="false">$A34/($A34+(1-$A34)*D$4)</f>
        <v>0.968145669066864</v>
      </c>
      <c r="E34" s="9" t="n">
        <f aca="false">$A34/($A34+(1-$A34)*E$4)</f>
        <v>0.955470591043084</v>
      </c>
    </row>
    <row r="35" customFormat="false" ht="15" hidden="false" customHeight="false" outlineLevel="0" collapsed="false">
      <c r="A35" s="14" t="n">
        <v>0.875</v>
      </c>
      <c r="B35" s="9" t="n">
        <f aca="false">$A35/($A35+(1-$A35)*B$4)</f>
        <v>0.997017833818861</v>
      </c>
      <c r="C35" s="9" t="n">
        <f aca="false">$A35/($A35+(1-$A35)*C$4)</f>
        <v>0.98630683017384</v>
      </c>
      <c r="D35" s="9" t="n">
        <f aca="false">$A35/($A35+(1-$A35)*D$4)</f>
        <v>0.974055744118382</v>
      </c>
      <c r="E35" s="9" t="n">
        <f aca="false">$A35/($A35+(1-$A35)*E$4)</f>
        <v>0.963644019352923</v>
      </c>
    </row>
    <row r="36" customFormat="false" ht="15" hidden="false" customHeight="false" outlineLevel="0" collapsed="false">
      <c r="A36" s="14" t="n">
        <v>0.9</v>
      </c>
      <c r="B36" s="9" t="n">
        <f aca="false">$A36/($A36+(1-$A36)*B$4)</f>
        <v>0.997678999279146</v>
      </c>
      <c r="C36" s="9" t="n">
        <f aca="false">$A36/($A36+(1-$A36)*C$4)</f>
        <v>0.989317249977371</v>
      </c>
      <c r="D36" s="9" t="n">
        <f aca="false">$A36/($A36+(1-$A36)*D$4)</f>
        <v>0.979704120650478</v>
      </c>
      <c r="E36" s="9" t="n">
        <f aca="false">$A36/($A36+(1-$A36)*E$4)</f>
        <v>0.971492813559264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2026-09-18T17:36:36Z</dcterms:created>
  <dc:creator>openpyxl</dc:creator>
  <dc:description/>
  <dc:language>en-US</dc:language>
  <cp:lastModifiedBy/>
  <dcterms:modified xsi:type="dcterms:W3CDTF">2026-09-18T17:36:36Z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