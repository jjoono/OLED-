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nsub_1.5" sheetId="2" state="visible" r:id="rId2"/>
    <sheet xmlns:r="http://schemas.openxmlformats.org/officeDocument/2006/relationships" name="nsub_1.8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2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0" customWidth="1" min="1" max="1"/>
    <col width="104" customWidth="1" min="2" max="2"/>
  </cols>
  <sheetData>
    <row r="1">
      <c r="A1" s="1" t="inlineStr">
        <is>
          <t>Fig. 2(a) — ITO thickness with an Al and an Ag reflector</t>
        </is>
      </c>
    </row>
    <row r="2">
      <c r="A2" s="2" t="inlineStr">
        <is>
          <t>Raw data for the three panels: round-trip loss split into mirror and TCO parts, and the resulting extraction efficiency</t>
        </is>
      </c>
    </row>
    <row r="4">
      <c r="A4" s="2" t="inlineStr">
        <is>
          <t>Stack</t>
        </is>
      </c>
    </row>
    <row r="5">
      <c r="A5" s="2" t="inlineStr">
        <is>
          <t>Common part</t>
        </is>
      </c>
      <c r="B5" t="inlineStr">
        <is>
          <t>reflector 100 nm / ETL 200 nm / EML 20 nm (isotropic dipole at the centre) / HTL 200 nm / ITO (thickness swept) / substrate</t>
        </is>
      </c>
    </row>
    <row r="6">
      <c r="A6" s="2" t="inlineStr">
        <is>
          <t>Reflector</t>
        </is>
      </c>
      <c r="B6" t="inlineStr">
        <is>
          <t>Al: Johnson-Christy-type n,k from the project library (0.958 + 6.687i at 550 nm).  Ag: McPeak measured n,k (0.044 + 3.819i)</t>
        </is>
      </c>
    </row>
    <row r="7">
      <c r="A7" s="2" t="inlineStr">
        <is>
          <t>ITO</t>
        </is>
      </c>
      <c r="B7" t="inlineStr">
        <is>
          <t>n = 1.8636 + 0.0032285i at 550 nm — Koenig et al., ACS Nano 8, 6182 (2014), the refractiveindex.info tabulation; identical to the l_ITO entry of the project library.  Thickness 30 to 200 nm in 10 nm steps</t>
        </is>
      </c>
    </row>
    <row r="8">
      <c r="A8" s="2" t="inlineStr">
        <is>
          <t>Organics</t>
        </is>
      </c>
      <c r="B8" t="inlineStr">
        <is>
          <t>EML, HTL and ETL isotropic n = 1.8, k = 0</t>
        </is>
      </c>
    </row>
    <row r="9">
      <c r="A9" s="2" t="inlineStr">
        <is>
          <t>Wavelength</t>
        </is>
      </c>
      <c r="B9" t="inlineStr">
        <is>
          <t>550 nm, single wavelength, PLQY = 1, u grid 3000 points</t>
        </is>
      </c>
    </row>
    <row r="11">
      <c r="A11" s="2" t="inlineStr">
        <is>
          <t>Quantities</t>
        </is>
      </c>
    </row>
    <row r="12">
      <c r="A12" s="2" t="inlineStr">
        <is>
          <t>A' (total)</t>
        </is>
      </c>
      <c r="B12" t="inlineStr">
        <is>
          <t>round-trip loss = 1 minus the reflectance of the OLED stack seen from the substrate, flux-weighted over substrate angles and averaged over p and s</t>
        </is>
      </c>
    </row>
    <row r="13">
      <c r="A13" s="2" t="inlineStr">
        <is>
          <t>A' mirror</t>
        </is>
      </c>
      <c r="B13" t="inlineStr">
        <is>
          <t>the same quantity recomputed with k_ITO = 0, so only the metal absorbs</t>
        </is>
      </c>
    </row>
    <row r="14">
      <c r="A14" s="2" t="inlineStr">
        <is>
          <t>A' TCO</t>
        </is>
      </c>
      <c r="B14" t="inlineStr">
        <is>
          <t>the remainder, A'(total) minus A'(mirror).  These two stack to A'(total) — this is the split drawn in the left and centre panels</t>
        </is>
      </c>
    </row>
    <row r="15">
      <c r="A15" s="2" t="inlineStr">
        <is>
          <t>eta_ext</t>
        </is>
      </c>
      <c r="B15" t="inlineStr">
        <is>
          <t>p / [p + (1-p) A'(total)].  FORMULA, driven by the p cell below</t>
        </is>
      </c>
    </row>
    <row r="16">
      <c r="A16" s="2" t="inlineStr">
        <is>
          <t>eta_sub</t>
        </is>
      </c>
      <c r="B16" t="inlineStr">
        <is>
          <t>substrate-delivered power from the five-channel budget; not plotted in this figure but included for reference</t>
        </is>
      </c>
    </row>
    <row r="18">
      <c r="A18" s="2" t="inlineStr">
        <is>
          <t>Input</t>
        </is>
      </c>
    </row>
    <row r="19">
      <c r="A19" s="2" t="inlineStr">
        <is>
          <t>p at n_sub = 1.5</t>
        </is>
      </c>
      <c r="B19" s="3" t="n">
        <v>0.38</v>
      </c>
    </row>
    <row r="20">
      <c r="A20" s="2" t="inlineStr">
        <is>
          <t>p at n_sub = 1.8</t>
        </is>
      </c>
      <c r="B20" s="3" t="n">
        <v>0.3</v>
      </c>
    </row>
    <row r="21">
      <c r="A21" s="2" t="inlineStr">
        <is>
          <t>Source of p</t>
        </is>
      </c>
      <c r="B21" t="inlineStr">
        <is>
          <t>read off the single-pass-escape-probability curve; roughly 1/n_sub^2 (Yablonovitch 1982)</t>
        </is>
      </c>
    </row>
    <row r="23">
      <c r="A23" s="2" t="inlineStr">
        <is>
          <t>Sheets</t>
        </is>
      </c>
    </row>
    <row r="24">
      <c r="A24" s="2" t="inlineStr">
        <is>
          <t>nsub_1.5</t>
        </is>
      </c>
      <c r="B24" t="inlineStr">
        <is>
          <t>the panels as drawn: glass substrate with a microlens film</t>
        </is>
      </c>
    </row>
    <row r="25">
      <c r="A25" s="2" t="inlineStr">
        <is>
          <t>nsub_1.8</t>
        </is>
      </c>
      <c r="B25" t="inlineStr">
        <is>
          <t>the same sweep on a high-index substrate, for the companion numbers quoted in the caption</t>
        </is>
      </c>
    </row>
    <row r="27">
      <c r="A27" s="2" t="inlineStr">
        <is>
          <t>Provenance</t>
        </is>
      </c>
    </row>
    <row r="28">
      <c r="A28" s="2" t="inlineStr">
        <is>
          <t>Script</t>
        </is>
      </c>
      <c r="B28" t="inlineStr">
        <is>
          <t>sim/design_rule4/dr4e.m (Octave), MODE=dbot, run with UNUM=3000</t>
        </is>
      </c>
    </row>
    <row r="29">
      <c r="A29" s="2" t="inlineStr">
        <is>
          <t>Source files</t>
        </is>
      </c>
      <c r="B29" t="inlineStr">
        <is>
          <t>kn2_{al,ag}_{15,18}.csv (Koenig ITO) and kn3_{al,ag}_{15,18}_k0.csv (same stack at k_ITO = 0)</t>
        </is>
      </c>
    </row>
    <row r="30">
      <c r="A30" s="2" t="inlineStr">
        <is>
          <t>Superseded</t>
        </is>
      </c>
      <c r="B30" t="inlineStr">
        <is>
          <t>tco2_*/tco3_* hold the earlier run at n = 1.9 + 0.02i, kept for comparison</t>
        </is>
      </c>
    </row>
    <row r="31">
      <c r="A31" s="2" t="inlineStr">
        <is>
          <t>Repository</t>
        </is>
      </c>
      <c r="B31" t="inlineStr">
        <is>
          <t>jjoono/OLED-, branch claude/oled-efficiency-paper-ag-955zsk, figures/fig2a_mock/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2" t="inlineStr">
        <is>
          <t>Panel as drawn: glass substrate with a microlens film, n_sub = 1.5</t>
        </is>
      </c>
    </row>
    <row r="2">
      <c r="A2" t="inlineStr">
        <is>
          <t>A' mirror + A' TCO = A' total.  eta_ext is a formula driven by p in README!B19</t>
        </is>
      </c>
    </row>
    <row r="4">
      <c r="A4" s="2" t="inlineStr">
        <is>
          <t>ITO thickness (nm)</t>
        </is>
      </c>
      <c r="B4" s="2" t="inlineStr">
        <is>
          <t>A' mirror (Al)</t>
        </is>
      </c>
      <c r="C4" s="2" t="inlineStr">
        <is>
          <t>A' TCO (Al)</t>
        </is>
      </c>
      <c r="D4" s="2" t="inlineStr">
        <is>
          <t>A' total (Al)</t>
        </is>
      </c>
      <c r="E4" s="2" t="inlineStr">
        <is>
          <t>eta_ext (Al)</t>
        </is>
      </c>
      <c r="F4" s="2" t="inlineStr">
        <is>
          <t>eta_sub (Al)</t>
        </is>
      </c>
      <c r="G4" s="2" t="inlineStr">
        <is>
          <t>A' mirror (Ag)</t>
        </is>
      </c>
      <c r="H4" s="2" t="inlineStr">
        <is>
          <t>A' TCO (Ag)</t>
        </is>
      </c>
      <c r="I4" s="2" t="inlineStr">
        <is>
          <t>A' total (Ag)</t>
        </is>
      </c>
      <c r="J4" s="2" t="inlineStr">
        <is>
          <t>eta_ext (Ag)</t>
        </is>
      </c>
      <c r="K4" s="2" t="inlineStr">
        <is>
          <t>eta_sub (Ag)</t>
        </is>
      </c>
    </row>
    <row r="5">
      <c r="A5" t="n">
        <v>30</v>
      </c>
      <c r="B5" s="4" t="n">
        <v>0.1341287805947736</v>
      </c>
      <c r="C5" s="4" t="n">
        <v>0.005031567674534998</v>
      </c>
      <c r="D5" s="4" t="n">
        <v>0.1391603482693086</v>
      </c>
      <c r="E5" s="4">
        <f>README!$B$19/(README!$B$19+(1-README!$B$19)*D5)</f>
        <v/>
      </c>
      <c r="F5" s="4" t="n">
        <v>0.3966479661385229</v>
      </c>
      <c r="G5" s="4" t="n">
        <v>0.01815670727087826</v>
      </c>
      <c r="H5" s="4" t="n">
        <v>0.005793304959848752</v>
      </c>
      <c r="I5" s="4" t="n">
        <v>0.02395001223072701</v>
      </c>
      <c r="J5" s="4">
        <f>README!$B$19/(README!$B$19+(1-README!$B$19)*I5)</f>
        <v/>
      </c>
      <c r="K5" s="4" t="n">
        <v>0.4723659827499995</v>
      </c>
    </row>
    <row r="6">
      <c r="A6" t="n">
        <v>40</v>
      </c>
      <c r="B6" s="4" t="n">
        <v>0.1342462388543153</v>
      </c>
      <c r="C6" s="4" t="n">
        <v>0.006482710808486808</v>
      </c>
      <c r="D6" s="4" t="n">
        <v>0.1407289496628021</v>
      </c>
      <c r="E6" s="4">
        <f>README!$B$19/(README!$B$19+(1-README!$B$19)*D6)</f>
        <v/>
      </c>
      <c r="F6" s="4" t="n">
        <v>0.3967917967194575</v>
      </c>
      <c r="G6" s="4" t="n">
        <v>0.01822434680561291</v>
      </c>
      <c r="H6" s="4" t="n">
        <v>0.007547927222031132</v>
      </c>
      <c r="I6" s="4" t="n">
        <v>0.02577227402764404</v>
      </c>
      <c r="J6" s="4">
        <f>README!$B$19/(README!$B$19+(1-README!$B$19)*I6)</f>
        <v/>
      </c>
      <c r="K6" s="4" t="n">
        <v>0.4773367372571477</v>
      </c>
    </row>
    <row r="7">
      <c r="A7" t="n">
        <v>50</v>
      </c>
      <c r="B7" s="4" t="n">
        <v>0.1347305705969093</v>
      </c>
      <c r="C7" s="4" t="n">
        <v>0.007855432550629898</v>
      </c>
      <c r="D7" s="4" t="n">
        <v>0.1425860031475392</v>
      </c>
      <c r="E7" s="4">
        <f>README!$B$19/(README!$B$19+(1-README!$B$19)*D7)</f>
        <v/>
      </c>
      <c r="F7" s="4" t="n">
        <v>0.3971364906508024</v>
      </c>
      <c r="G7" s="4" t="n">
        <v>0.01836046809396319</v>
      </c>
      <c r="H7" s="4" t="n">
        <v>0.009250069538912942</v>
      </c>
      <c r="I7" s="4" t="n">
        <v>0.02761053763287613</v>
      </c>
      <c r="J7" s="4">
        <f>README!$B$19/(README!$B$19+(1-README!$B$19)*I7)</f>
        <v/>
      </c>
      <c r="K7" s="4" t="n">
        <v>0.4648878933082227</v>
      </c>
    </row>
    <row r="8">
      <c r="A8" t="n">
        <v>60</v>
      </c>
      <c r="B8" s="4" t="n">
        <v>0.1355749223032428</v>
      </c>
      <c r="C8" s="4" t="n">
        <v>0.009168607055278888</v>
      </c>
      <c r="D8" s="4" t="n">
        <v>0.1447435293585217</v>
      </c>
      <c r="E8" s="4">
        <f>README!$B$19/(README!$B$19+(1-README!$B$19)*D8)</f>
        <v/>
      </c>
      <c r="F8" s="4" t="n">
        <v>0.3984079012008038</v>
      </c>
      <c r="G8" s="4" t="n">
        <v>0.01836177796713845</v>
      </c>
      <c r="H8" s="4" t="n">
        <v>0.01075267797391122</v>
      </c>
      <c r="I8" s="4" t="n">
        <v>0.02911445594104967</v>
      </c>
      <c r="J8" s="4">
        <f>README!$B$19/(README!$B$19+(1-README!$B$19)*I8)</f>
        <v/>
      </c>
      <c r="K8" s="4" t="n">
        <v>0.4681114323550963</v>
      </c>
    </row>
    <row r="9">
      <c r="A9" t="n">
        <v>70</v>
      </c>
      <c r="B9" s="4" t="n">
        <v>0.1365734679198074</v>
      </c>
      <c r="C9" s="4" t="n">
        <v>0.01042981878530969</v>
      </c>
      <c r="D9" s="4" t="n">
        <v>0.1470032867051171</v>
      </c>
      <c r="E9" s="4">
        <f>README!$B$19/(README!$B$19+(1-README!$B$19)*D9)</f>
        <v/>
      </c>
      <c r="F9" s="4" t="n">
        <v>0.4000690203865174</v>
      </c>
      <c r="G9" s="4" t="n">
        <v>0.01736210306783592</v>
      </c>
      <c r="H9" s="4" t="n">
        <v>0.01164677819493143</v>
      </c>
      <c r="I9" s="4" t="n">
        <v>0.02900888126276735</v>
      </c>
      <c r="J9" s="4">
        <f>README!$B$19/(README!$B$19+(1-README!$B$19)*I9)</f>
        <v/>
      </c>
      <c r="K9" s="4" t="n">
        <v>0.438954537272296</v>
      </c>
    </row>
    <row r="10">
      <c r="A10" t="n">
        <v>80</v>
      </c>
      <c r="B10" s="4" t="n">
        <v>0.1366760707883141</v>
      </c>
      <c r="C10" s="4" t="n">
        <v>0.01161723700366152</v>
      </c>
      <c r="D10" s="4" t="n">
        <v>0.1482933077919756</v>
      </c>
      <c r="E10" s="4">
        <f>README!$B$19/(README!$B$19+(1-README!$B$19)*D10)</f>
        <v/>
      </c>
      <c r="F10" s="4" t="n">
        <v>0.3973858043082906</v>
      </c>
      <c r="G10" s="4" t="n">
        <v>0.01699068391471503</v>
      </c>
      <c r="H10" s="4" t="n">
        <v>0.01276229373301596</v>
      </c>
      <c r="I10" s="4" t="n">
        <v>0.02975297764773099</v>
      </c>
      <c r="J10" s="4">
        <f>README!$B$19/(README!$B$19+(1-README!$B$19)*I10)</f>
        <v/>
      </c>
      <c r="K10" s="4" t="n">
        <v>0.422731293969935</v>
      </c>
    </row>
    <row r="11">
      <c r="A11" t="n">
        <v>90</v>
      </c>
      <c r="B11" s="4" t="n">
        <v>0.1338391881356654</v>
      </c>
      <c r="C11" s="4" t="n">
        <v>0.01289003349328172</v>
      </c>
      <c r="D11" s="4" t="n">
        <v>0.1467292216289471</v>
      </c>
      <c r="E11" s="4">
        <f>README!$B$19/(README!$B$19+(1-README!$B$19)*D11)</f>
        <v/>
      </c>
      <c r="F11" s="4" t="n">
        <v>0.3866169964751629</v>
      </c>
      <c r="G11" s="4" t="n">
        <v>0.01695120989249621</v>
      </c>
      <c r="H11" s="4" t="n">
        <v>0.01416269846437823</v>
      </c>
      <c r="I11" s="4" t="n">
        <v>0.03111390835687444</v>
      </c>
      <c r="J11" s="4">
        <f>README!$B$19/(README!$B$19+(1-README!$B$19)*I11)</f>
        <v/>
      </c>
      <c r="K11" s="4" t="n">
        <v>0.4171886379752962</v>
      </c>
    </row>
    <row r="12">
      <c r="A12" t="n">
        <v>100</v>
      </c>
      <c r="B12" s="4" t="n">
        <v>0.1316346937507008</v>
      </c>
      <c r="C12" s="4" t="n">
        <v>0.01420276317307329</v>
      </c>
      <c r="D12" s="4" t="n">
        <v>0.1458374569237741</v>
      </c>
      <c r="E12" s="4">
        <f>README!$B$19/(README!$B$19+(1-README!$B$19)*D12)</f>
        <v/>
      </c>
      <c r="F12" s="4" t="n">
        <v>0.3772262243063611</v>
      </c>
      <c r="G12" s="4" t="n">
        <v>0.01705974890770401</v>
      </c>
      <c r="H12" s="4" t="n">
        <v>0.01581390620407919</v>
      </c>
      <c r="I12" s="4" t="n">
        <v>0.0328736551117832</v>
      </c>
      <c r="J12" s="4">
        <f>README!$B$19/(README!$B$19+(1-README!$B$19)*I12)</f>
        <v/>
      </c>
      <c r="K12" s="4" t="n">
        <v>0.4163619008680844</v>
      </c>
    </row>
    <row r="13">
      <c r="A13" t="n">
        <v>110</v>
      </c>
      <c r="B13" s="4" t="n">
        <v>0.1309231494963311</v>
      </c>
      <c r="C13" s="4" t="n">
        <v>0.01565722914755069</v>
      </c>
      <c r="D13" s="4" t="n">
        <v>0.1465803786438818</v>
      </c>
      <c r="E13" s="4">
        <f>README!$B$19/(README!$B$19+(1-README!$B$19)*D13)</f>
        <v/>
      </c>
      <c r="F13" s="4" t="n">
        <v>0.3729155471799266</v>
      </c>
      <c r="G13" s="4" t="n">
        <v>0.01720109667189551</v>
      </c>
      <c r="H13" s="4" t="n">
        <v>0.01765211367023445</v>
      </c>
      <c r="I13" s="4" t="n">
        <v>0.03485321034212996</v>
      </c>
      <c r="J13" s="4">
        <f>README!$B$19/(README!$B$19+(1-README!$B$19)*I13)</f>
        <v/>
      </c>
      <c r="K13" s="4" t="n">
        <v>0.4170566856068971</v>
      </c>
    </row>
    <row r="14">
      <c r="A14" t="n">
        <v>120</v>
      </c>
      <c r="B14" s="4" t="n">
        <v>0.1308696741527141</v>
      </c>
      <c r="C14" s="4" t="n">
        <v>0.0172635469410411</v>
      </c>
      <c r="D14" s="4" t="n">
        <v>0.1481332210937552</v>
      </c>
      <c r="E14" s="4">
        <f>README!$B$19/(README!$B$19+(1-README!$B$19)*D14)</f>
        <v/>
      </c>
      <c r="F14" s="4" t="n">
        <v>0.3711740789678353</v>
      </c>
      <c r="G14" s="4" t="n">
        <v>0.01731183838626138</v>
      </c>
      <c r="H14" s="4" t="n">
        <v>0.01960201797483641</v>
      </c>
      <c r="I14" s="4" t="n">
        <v>0.03691385636109779</v>
      </c>
      <c r="J14" s="4">
        <f>README!$B$19/(README!$B$19+(1-README!$B$19)*I14)</f>
        <v/>
      </c>
      <c r="K14" s="4" t="n">
        <v>0.4177582983097638</v>
      </c>
    </row>
    <row r="15">
      <c r="A15" t="n">
        <v>130</v>
      </c>
      <c r="B15" s="4" t="n">
        <v>0.1309099357846377</v>
      </c>
      <c r="C15" s="4" t="n">
        <v>0.01897110558407411</v>
      </c>
      <c r="D15" s="4" t="n">
        <v>0.1498810413687118</v>
      </c>
      <c r="E15" s="4">
        <f>README!$B$19/(README!$B$19+(1-README!$B$19)*D15)</f>
        <v/>
      </c>
      <c r="F15" s="4" t="n">
        <v>0.3703125660850702</v>
      </c>
      <c r="G15" s="4" t="n">
        <v>0.01737025755192689</v>
      </c>
      <c r="H15" s="4" t="n">
        <v>0.02160123543616877</v>
      </c>
      <c r="I15" s="4" t="n">
        <v>0.03897149298809566</v>
      </c>
      <c r="J15" s="4">
        <f>README!$B$19/(README!$B$19+(1-README!$B$19)*I15)</f>
        <v/>
      </c>
      <c r="K15" s="4" t="n">
        <v>0.4179841972610552</v>
      </c>
    </row>
    <row r="16">
      <c r="A16" t="n">
        <v>140</v>
      </c>
      <c r="B16" s="4" t="n">
        <v>0.130807102093189</v>
      </c>
      <c r="C16" s="4" t="n">
        <v>0.02072699753735829</v>
      </c>
      <c r="D16" s="4" t="n">
        <v>0.1515340996305473</v>
      </c>
      <c r="E16" s="4">
        <f>README!$B$19/(README!$B$19+(1-README!$B$19)*D16)</f>
        <v/>
      </c>
      <c r="F16" s="4" t="n">
        <v>0.3696360365083239</v>
      </c>
      <c r="G16" s="4" t="n">
        <v>0.01738090382794377</v>
      </c>
      <c r="H16" s="4" t="n">
        <v>0.02361130248362087</v>
      </c>
      <c r="I16" s="4" t="n">
        <v>0.04099220631156464</v>
      </c>
      <c r="J16" s="4">
        <f>README!$B$19/(README!$B$19+(1-README!$B$19)*I16)</f>
        <v/>
      </c>
      <c r="K16" s="4" t="n">
        <v>0.4178114702905197</v>
      </c>
    </row>
    <row r="17">
      <c r="A17" t="n">
        <v>150</v>
      </c>
      <c r="B17" s="4" t="n">
        <v>0.1305329111833466</v>
      </c>
      <c r="C17" s="4" t="n">
        <v>0.0224940198515462</v>
      </c>
      <c r="D17" s="4" t="n">
        <v>0.1530269310348928</v>
      </c>
      <c r="E17" s="4">
        <f>README!$B$19/(README!$B$19+(1-README!$B$19)*D17)</f>
        <v/>
      </c>
      <c r="F17" s="4" t="n">
        <v>0.3690580762923006</v>
      </c>
      <c r="G17" s="4" t="n">
        <v>0.01736054701497347</v>
      </c>
      <c r="H17" s="4" t="n">
        <v>0.02561591317177214</v>
      </c>
      <c r="I17" s="4" t="n">
        <v>0.04297646018674561</v>
      </c>
      <c r="J17" s="4">
        <f>README!$B$19/(README!$B$19+(1-README!$B$19)*I17)</f>
        <v/>
      </c>
      <c r="K17" s="4" t="n">
        <v>0.4176040360984204</v>
      </c>
    </row>
    <row r="18">
      <c r="A18" t="n">
        <v>160</v>
      </c>
      <c r="B18" s="4" t="n">
        <v>0.1301616844169643</v>
      </c>
      <c r="C18" s="4" t="n">
        <v>0.0242524922860908</v>
      </c>
      <c r="D18" s="4" t="n">
        <v>0.1544141767030551</v>
      </c>
      <c r="E18" s="4">
        <f>README!$B$19/(README!$B$19+(1-README!$B$19)*D18)</f>
        <v/>
      </c>
      <c r="F18" s="4" t="n">
        <v>0.368782086608017</v>
      </c>
      <c r="G18" s="4" t="n">
        <v>0.01732971583126997</v>
      </c>
      <c r="H18" s="4" t="n">
        <v>0.02761502417632188</v>
      </c>
      <c r="I18" s="4" t="n">
        <v>0.04494474000759185</v>
      </c>
      <c r="J18" s="4">
        <f>README!$B$19/(README!$B$19+(1-README!$B$19)*I18)</f>
        <v/>
      </c>
      <c r="K18" s="4" t="n">
        <v>0.4177777447962406</v>
      </c>
    </row>
    <row r="19">
      <c r="A19" t="n">
        <v>170</v>
      </c>
      <c r="B19" s="4" t="n">
        <v>0.1298066741039876</v>
      </c>
      <c r="C19" s="4" t="n">
        <v>0.02599667730240149</v>
      </c>
      <c r="D19" s="4" t="n">
        <v>0.1558033514063891</v>
      </c>
      <c r="E19" s="4">
        <f>README!$B$19/(README!$B$19+(1-README!$B$19)*D19)</f>
        <v/>
      </c>
      <c r="F19" s="4" t="n">
        <v>0.3691178540280358</v>
      </c>
      <c r="G19" s="4" t="n">
        <v>0.01730904592442883</v>
      </c>
      <c r="H19" s="4" t="n">
        <v>0.02962009232561081</v>
      </c>
      <c r="I19" s="4" t="n">
        <v>0.04692913825003964</v>
      </c>
      <c r="J19" s="4">
        <f>README!$B$19/(README!$B$19+(1-README!$B$19)*I19)</f>
        <v/>
      </c>
      <c r="K19" s="4" t="n">
        <v>0.4187638843360794</v>
      </c>
    </row>
    <row r="20">
      <c r="A20" t="n">
        <v>180</v>
      </c>
      <c r="B20" s="4" t="n">
        <v>0.1295903584069009</v>
      </c>
      <c r="C20" s="4" t="n">
        <v>0.02773075921179671</v>
      </c>
      <c r="D20" s="4" t="n">
        <v>0.1573211176186976</v>
      </c>
      <c r="E20" s="4">
        <f>README!$B$19/(README!$B$19+(1-README!$B$19)*D20)</f>
        <v/>
      </c>
      <c r="F20" s="4" t="n">
        <v>0.3703869267761062</v>
      </c>
      <c r="G20" s="4" t="n">
        <v>0.017318243312481</v>
      </c>
      <c r="H20" s="4" t="n">
        <v>0.03165148255916495</v>
      </c>
      <c r="I20" s="4" t="n">
        <v>0.04896972587164594</v>
      </c>
      <c r="J20" s="4">
        <f>README!$B$19/(README!$B$19+(1-README!$B$19)*I20)</f>
        <v/>
      </c>
      <c r="K20" s="4" t="n">
        <v>0.4209687995313596</v>
      </c>
    </row>
    <row r="21">
      <c r="A21" t="n">
        <v>190</v>
      </c>
      <c r="B21" s="4" t="n">
        <v>0.1296327764511642</v>
      </c>
      <c r="C21" s="4" t="n">
        <v>0.02946538823176481</v>
      </c>
      <c r="D21" s="4" t="n">
        <v>0.159098164682929</v>
      </c>
      <c r="E21" s="4">
        <f>README!$B$19/(README!$B$19+(1-README!$B$19)*D21)</f>
        <v/>
      </c>
      <c r="F21" s="4" t="n">
        <v>0.3728759437745644</v>
      </c>
      <c r="G21" s="4" t="n">
        <v>0.0173758421518968</v>
      </c>
      <c r="H21" s="4" t="n">
        <v>0.03373685546919603</v>
      </c>
      <c r="I21" s="4" t="n">
        <v>0.05111269762109283</v>
      </c>
      <c r="J21" s="4">
        <f>README!$B$19/(README!$B$19+(1-README!$B$19)*I21)</f>
        <v/>
      </c>
      <c r="K21" s="4" t="n">
        <v>0.424743689473794</v>
      </c>
    </row>
    <row r="22">
      <c r="A22" t="n">
        <v>200</v>
      </c>
      <c r="B22" s="4" t="n">
        <v>0.1300445288026116</v>
      </c>
      <c r="C22" s="4" t="n">
        <v>0.03121313509979279</v>
      </c>
      <c r="D22" s="4" t="n">
        <v>0.1612576639024044</v>
      </c>
      <c r="E22" s="4">
        <f>README!$B$19/(README!$B$19+(1-README!$B$19)*D22)</f>
        <v/>
      </c>
      <c r="F22" s="4" t="n">
        <v>0.3767921386078829</v>
      </c>
      <c r="G22" s="4" t="n">
        <v>0.01749833103355847</v>
      </c>
      <c r="H22" s="4" t="n">
        <v>0.0359074205063523</v>
      </c>
      <c r="I22" s="4" t="n">
        <v>0.05340575153991078</v>
      </c>
      <c r="J22" s="4">
        <f>README!$B$19/(README!$B$19+(1-README!$B$19)*I22)</f>
        <v/>
      </c>
      <c r="K22" s="4" t="n">
        <v>0.4303349429966691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2" t="inlineStr">
        <is>
          <t>Companion sweep on a high-index substrate, n_sub = 1.8</t>
        </is>
      </c>
    </row>
    <row r="2">
      <c r="A2" t="inlineStr">
        <is>
          <t>A' mirror + A' TCO = A' total.  eta_ext is a formula driven by p in README!B20</t>
        </is>
      </c>
    </row>
    <row r="4">
      <c r="A4" s="2" t="inlineStr">
        <is>
          <t>ITO thickness (nm)</t>
        </is>
      </c>
      <c r="B4" s="2" t="inlineStr">
        <is>
          <t>A' mirror (Al)</t>
        </is>
      </c>
      <c r="C4" s="2" t="inlineStr">
        <is>
          <t>A' TCO (Al)</t>
        </is>
      </c>
      <c r="D4" s="2" t="inlineStr">
        <is>
          <t>A' total (Al)</t>
        </is>
      </c>
      <c r="E4" s="2" t="inlineStr">
        <is>
          <t>eta_ext (Al)</t>
        </is>
      </c>
      <c r="F4" s="2" t="inlineStr">
        <is>
          <t>eta_sub (Al)</t>
        </is>
      </c>
      <c r="G4" s="2" t="inlineStr">
        <is>
          <t>A' mirror (Ag)</t>
        </is>
      </c>
      <c r="H4" s="2" t="inlineStr">
        <is>
          <t>A' TCO (Ag)</t>
        </is>
      </c>
      <c r="I4" s="2" t="inlineStr">
        <is>
          <t>A' total (Ag)</t>
        </is>
      </c>
      <c r="J4" s="2" t="inlineStr">
        <is>
          <t>eta_ext (Ag)</t>
        </is>
      </c>
      <c r="K4" s="2" t="inlineStr">
        <is>
          <t>eta_sub (Ag)</t>
        </is>
      </c>
    </row>
    <row r="5">
      <c r="A5" t="n">
        <v>30</v>
      </c>
      <c r="B5" s="4" t="n">
        <v>0.1369864175559613</v>
      </c>
      <c r="C5" s="4" t="n">
        <v>0.0077833996385894</v>
      </c>
      <c r="D5" s="4" t="n">
        <v>0.1447698171945507</v>
      </c>
      <c r="E5" s="4">
        <f>README!$B$20/(README!$B$20+(1-README!$B$20)*D5)</f>
        <v/>
      </c>
      <c r="F5" s="4" t="n">
        <v>0.8456894856058362</v>
      </c>
      <c r="G5" s="4" t="n">
        <v>0.01670899195687447</v>
      </c>
      <c r="H5" s="4" t="n">
        <v>0.008747311231281699</v>
      </c>
      <c r="I5" s="4" t="n">
        <v>0.02545630318815617</v>
      </c>
      <c r="J5" s="4">
        <f>README!$B$20/(README!$B$20+(1-README!$B$20)*I5)</f>
        <v/>
      </c>
      <c r="K5" s="4" t="n">
        <v>0.9605660624833366</v>
      </c>
    </row>
    <row r="6">
      <c r="A6" t="n">
        <v>40</v>
      </c>
      <c r="B6" s="4" t="n">
        <v>0.1369796510559446</v>
      </c>
      <c r="C6" s="4" t="n">
        <v>0.0102670092203874</v>
      </c>
      <c r="D6" s="4" t="n">
        <v>0.147246660276332</v>
      </c>
      <c r="E6" s="4">
        <f>README!$B$20/(README!$B$20+(1-README!$B$20)*D6)</f>
        <v/>
      </c>
      <c r="F6" s="4" t="n">
        <v>0.8437924510670833</v>
      </c>
      <c r="G6" s="4" t="n">
        <v>0.01669151345168929</v>
      </c>
      <c r="H6" s="4" t="n">
        <v>0.01156206176721319</v>
      </c>
      <c r="I6" s="4" t="n">
        <v>0.02825357521890248</v>
      </c>
      <c r="J6" s="4">
        <f>README!$B$20/(README!$B$20+(1-README!$B$20)*I6)</f>
        <v/>
      </c>
      <c r="K6" s="4" t="n">
        <v>0.9585343420007408</v>
      </c>
    </row>
    <row r="7">
      <c r="A7" t="n">
        <v>50</v>
      </c>
      <c r="B7" s="4" t="n">
        <v>0.1370113523778699</v>
      </c>
      <c r="C7" s="4" t="n">
        <v>0.01268049235456109</v>
      </c>
      <c r="D7" s="4" t="n">
        <v>0.149691844732431</v>
      </c>
      <c r="E7" s="4">
        <f>README!$B$20/(README!$B$20+(1-README!$B$20)*D7)</f>
        <v/>
      </c>
      <c r="F7" s="4" t="n">
        <v>0.8417932956443259</v>
      </c>
      <c r="G7" s="4" t="n">
        <v>0.01668434118264583</v>
      </c>
      <c r="H7" s="4" t="n">
        <v>0.0143270991101222</v>
      </c>
      <c r="I7" s="4" t="n">
        <v>0.03101144029276803</v>
      </c>
      <c r="J7" s="4">
        <f>README!$B$20/(README!$B$20+(1-README!$B$20)*I7)</f>
        <v/>
      </c>
      <c r="K7" s="4" t="n">
        <v>0.9564053370395643</v>
      </c>
    </row>
    <row r="8">
      <c r="A8" t="n">
        <v>60</v>
      </c>
      <c r="B8" s="4" t="n">
        <v>0.1370964437127304</v>
      </c>
      <c r="C8" s="4" t="n">
        <v>0.01501175881776212</v>
      </c>
      <c r="D8" s="4" t="n">
        <v>0.1521082025304925</v>
      </c>
      <c r="E8" s="4">
        <f>README!$B$20/(README!$B$20+(1-README!$B$20)*D8)</f>
        <v/>
      </c>
      <c r="F8" s="4" t="n">
        <v>0.8396308605997687</v>
      </c>
      <c r="G8" s="4" t="n">
        <v>0.01668855387790114</v>
      </c>
      <c r="H8" s="4" t="n">
        <v>0.01703537976943481</v>
      </c>
      <c r="I8" s="4" t="n">
        <v>0.03372393364733595</v>
      </c>
      <c r="J8" s="4">
        <f>README!$B$20/(README!$B$20+(1-README!$B$20)*I8)</f>
        <v/>
      </c>
      <c r="K8" s="4" t="n">
        <v>0.9541382536421608</v>
      </c>
    </row>
    <row r="9">
      <c r="A9" t="n">
        <v>70</v>
      </c>
      <c r="B9" s="4" t="n">
        <v>0.1372354608585566</v>
      </c>
      <c r="C9" s="4" t="n">
        <v>0.01718702200185171</v>
      </c>
      <c r="D9" s="4" t="n">
        <v>0.1544224828604083</v>
      </c>
      <c r="E9" s="4">
        <f>README!$B$20/(README!$B$20+(1-README!$B$20)*D9)</f>
        <v/>
      </c>
      <c r="F9" s="4" t="n">
        <v>0.8371633984801001</v>
      </c>
      <c r="G9" s="4" t="n">
        <v>0.01670321072736169</v>
      </c>
      <c r="H9" s="4" t="n">
        <v>0.01959881578266054</v>
      </c>
      <c r="I9" s="4" t="n">
        <v>0.03630202651002223</v>
      </c>
      <c r="J9" s="4">
        <f>README!$B$20/(README!$B$20+(1-README!$B$20)*I9)</f>
        <v/>
      </c>
      <c r="K9" s="4" t="n">
        <v>0.9516563536534876</v>
      </c>
    </row>
    <row r="10">
      <c r="A10" t="n">
        <v>80</v>
      </c>
      <c r="B10" s="4" t="n">
        <v>0.137370513530128</v>
      </c>
      <c r="C10" s="4" t="n">
        <v>0.01902069094258199</v>
      </c>
      <c r="D10" s="4" t="n">
        <v>0.15639120447271</v>
      </c>
      <c r="E10" s="4">
        <f>README!$B$20/(README!$B$20+(1-README!$B$20)*D10)</f>
        <v/>
      </c>
      <c r="F10" s="4" t="n">
        <v>0.8337066216105578</v>
      </c>
      <c r="G10" s="4" t="n">
        <v>0.01671944163071859</v>
      </c>
      <c r="H10" s="4" t="n">
        <v>0.02179793526111673</v>
      </c>
      <c r="I10" s="4" t="n">
        <v>0.03851737689183532</v>
      </c>
      <c r="J10" s="4">
        <f>README!$B$20/(README!$B$20+(1-README!$B$20)*I10)</f>
        <v/>
      </c>
      <c r="K10" s="4" t="n">
        <v>0.9479854664641945</v>
      </c>
    </row>
    <row r="11">
      <c r="A11" t="n">
        <v>90</v>
      </c>
      <c r="B11" s="4" t="n">
        <v>0.1375168037232216</v>
      </c>
      <c r="C11" s="4" t="n">
        <v>0.02069367683234211</v>
      </c>
      <c r="D11" s="4" t="n">
        <v>0.1582104805555637</v>
      </c>
      <c r="E11" s="4">
        <f>README!$B$20/(README!$B$20+(1-README!$B$20)*D11)</f>
        <v/>
      </c>
      <c r="F11" s="4" t="n">
        <v>0.8229631150390354</v>
      </c>
      <c r="G11" s="4" t="n">
        <v>0.01674010533860948</v>
      </c>
      <c r="H11" s="4" t="n">
        <v>0.02385178190415549</v>
      </c>
      <c r="I11" s="4" t="n">
        <v>0.04059188724276497</v>
      </c>
      <c r="J11" s="4">
        <f>README!$B$20/(README!$B$20+(1-README!$B$20)*I11)</f>
        <v/>
      </c>
      <c r="K11" s="4" t="n">
        <v>0.93492931600337</v>
      </c>
    </row>
    <row r="12">
      <c r="A12" t="n">
        <v>100</v>
      </c>
      <c r="B12" s="4" t="n">
        <v>0.1376322054125131</v>
      </c>
      <c r="C12" s="4" t="n">
        <v>0.02234408841309191</v>
      </c>
      <c r="D12" s="4" t="n">
        <v>0.159976293825605</v>
      </c>
      <c r="E12" s="4">
        <f>README!$B$20/(README!$B$20+(1-README!$B$20)*D12)</f>
        <v/>
      </c>
      <c r="F12" s="4" t="n">
        <v>0.8180921152597016</v>
      </c>
      <c r="G12" s="4" t="n">
        <v>0.01674213704519978</v>
      </c>
      <c r="H12" s="4" t="n">
        <v>0.02572579257061391</v>
      </c>
      <c r="I12" s="4" t="n">
        <v>0.04246792961581369</v>
      </c>
      <c r="J12" s="4">
        <f>README!$B$20/(README!$B$20+(1-README!$B$20)*I12)</f>
        <v/>
      </c>
      <c r="K12" s="4" t="n">
        <v>0.9304923584053204</v>
      </c>
    </row>
    <row r="13">
      <c r="A13" t="n">
        <v>110</v>
      </c>
      <c r="B13" s="4" t="n">
        <v>0.1376329193703995</v>
      </c>
      <c r="C13" s="4" t="n">
        <v>0.02398281524399948</v>
      </c>
      <c r="D13" s="4" t="n">
        <v>0.161615734614399</v>
      </c>
      <c r="E13" s="4">
        <f>README!$B$20/(README!$B$20+(1-README!$B$20)*D13)</f>
        <v/>
      </c>
      <c r="F13" s="4" t="n">
        <v>0.8144474929408334</v>
      </c>
      <c r="G13" s="4" t="n">
        <v>0.01670178965041536</v>
      </c>
      <c r="H13" s="4" t="n">
        <v>0.02738694569304245</v>
      </c>
      <c r="I13" s="4" t="n">
        <v>0.04408873534345781</v>
      </c>
      <c r="J13" s="4">
        <f>README!$B$20/(README!$B$20+(1-README!$B$20)*I13)</f>
        <v/>
      </c>
      <c r="K13" s="4" t="n">
        <v>0.9257663034508254</v>
      </c>
    </row>
    <row r="14">
      <c r="A14" t="n">
        <v>120</v>
      </c>
      <c r="B14" s="4" t="n">
        <v>0.1373830065866978</v>
      </c>
      <c r="C14" s="4" t="n">
        <v>0.02562382305600788</v>
      </c>
      <c r="D14" s="4" t="n">
        <v>0.1630068296427057</v>
      </c>
      <c r="E14" s="4">
        <f>README!$B$20/(README!$B$20+(1-README!$B$20)*D14)</f>
        <v/>
      </c>
      <c r="F14" s="4" t="n">
        <v>0.8111800730044253</v>
      </c>
      <c r="G14" s="4" t="n">
        <v>0.01666642276690422</v>
      </c>
      <c r="H14" s="4" t="n">
        <v>0.0290190878161285</v>
      </c>
      <c r="I14" s="4" t="n">
        <v>0.04568551058303272</v>
      </c>
      <c r="J14" s="4">
        <f>README!$B$20/(README!$B$20+(1-README!$B$20)*I14)</f>
        <v/>
      </c>
      <c r="K14" s="4" t="n">
        <v>0.9184517040032055</v>
      </c>
    </row>
    <row r="15">
      <c r="A15" t="n">
        <v>130</v>
      </c>
      <c r="B15" s="4" t="n">
        <v>0.1367904521166161</v>
      </c>
      <c r="C15" s="4" t="n">
        <v>0.027306621685044</v>
      </c>
      <c r="D15" s="4" t="n">
        <v>0.1640970738016601</v>
      </c>
      <c r="E15" s="4">
        <f>README!$B$20/(README!$B$20+(1-README!$B$20)*D15)</f>
        <v/>
      </c>
      <c r="F15" s="4" t="n">
        <v>0.8083813266087307</v>
      </c>
      <c r="G15" s="4" t="n">
        <v>0.01663229102439345</v>
      </c>
      <c r="H15" s="4" t="n">
        <v>0.03067261222056106</v>
      </c>
      <c r="I15" s="4" t="n">
        <v>0.04730490324495451</v>
      </c>
      <c r="J15" s="4">
        <f>README!$B$20/(README!$B$20+(1-README!$B$20)*I15)</f>
        <v/>
      </c>
      <c r="K15" s="4" t="n">
        <v>0.9146111831891721</v>
      </c>
    </row>
    <row r="16">
      <c r="A16" t="n">
        <v>140</v>
      </c>
      <c r="B16" s="4" t="n">
        <v>0.1360329259068649</v>
      </c>
      <c r="C16" s="4" t="n">
        <v>0.02896476263259762</v>
      </c>
      <c r="D16" s="4" t="n">
        <v>0.1649976885394625</v>
      </c>
      <c r="E16" s="4">
        <f>README!$B$20/(README!$B$20+(1-README!$B$20)*D16)</f>
        <v/>
      </c>
      <c r="F16" s="4" t="n">
        <v>0.8059019230797206</v>
      </c>
      <c r="G16" s="4" t="n">
        <v>0.01659751849044488</v>
      </c>
      <c r="H16" s="4" t="n">
        <v>0.03234245257678615</v>
      </c>
      <c r="I16" s="4" t="n">
        <v>0.04893997106723103</v>
      </c>
      <c r="J16" s="4">
        <f>README!$B$20/(README!$B$20+(1-README!$B$20)*I16)</f>
        <v/>
      </c>
      <c r="K16" s="4" t="n">
        <v>0.9114631156705555</v>
      </c>
    </row>
    <row r="17">
      <c r="A17" t="n">
        <v>150</v>
      </c>
      <c r="B17" s="4" t="n">
        <v>0.135274215193267</v>
      </c>
      <c r="C17" s="4" t="n">
        <v>0.03056162305970231</v>
      </c>
      <c r="D17" s="4" t="n">
        <v>0.1658358382529693</v>
      </c>
      <c r="E17" s="4">
        <f>README!$B$20/(README!$B$20+(1-README!$B$20)*D17)</f>
        <v/>
      </c>
      <c r="F17" s="4" t="n">
        <v>0.8039313906363066</v>
      </c>
      <c r="G17" s="4" t="n">
        <v>0.01656233660859452</v>
      </c>
      <c r="H17" s="4" t="n">
        <v>0.03401603094466921</v>
      </c>
      <c r="I17" s="4" t="n">
        <v>0.05057836755326373</v>
      </c>
      <c r="J17" s="4">
        <f>README!$B$20/(README!$B$20+(1-README!$B$20)*I17)</f>
        <v/>
      </c>
      <c r="K17" s="4" t="n">
        <v>0.9090209412486445</v>
      </c>
    </row>
    <row r="18">
      <c r="A18" t="n">
        <v>160</v>
      </c>
      <c r="B18" s="4" t="n">
        <v>0.1345741941197074</v>
      </c>
      <c r="C18" s="4" t="n">
        <v>0.0321051909362032</v>
      </c>
      <c r="D18" s="4" t="n">
        <v>0.1666793850559106</v>
      </c>
      <c r="E18" s="4">
        <f>README!$B$20/(README!$B$20+(1-README!$B$20)*D18)</f>
        <v/>
      </c>
      <c r="F18" s="4" t="n">
        <v>0.8023759061971727</v>
      </c>
      <c r="G18" s="4" t="n">
        <v>0.01652847298614135</v>
      </c>
      <c r="H18" s="4" t="n">
        <v>0.03568460413342922</v>
      </c>
      <c r="I18" s="4" t="n">
        <v>0.05221307711957057</v>
      </c>
      <c r="J18" s="4">
        <f>README!$B$20/(README!$B$20+(1-README!$B$20)*I18)</f>
        <v/>
      </c>
      <c r="K18" s="4" t="n">
        <v>0.9072048309532901</v>
      </c>
    </row>
    <row r="19">
      <c r="A19" t="n">
        <v>170</v>
      </c>
      <c r="B19" s="4" t="n">
        <v>0.1339568041949358</v>
      </c>
      <c r="C19" s="4" t="n">
        <v>0.03360783928958289</v>
      </c>
      <c r="D19" s="4" t="n">
        <v>0.1675646434845187</v>
      </c>
      <c r="E19" s="4">
        <f>README!$B$20/(README!$B$20+(1-README!$B$20)*D19)</f>
        <v/>
      </c>
      <c r="F19" s="4" t="n">
        <v>0.801147711393682</v>
      </c>
      <c r="G19" s="4" t="n">
        <v>0.01649846496250285</v>
      </c>
      <c r="H19" s="4" t="n">
        <v>0.0373468442583148</v>
      </c>
      <c r="I19" s="4" t="n">
        <v>0.05384530922081765</v>
      </c>
      <c r="J19" s="4">
        <f>README!$B$20/(README!$B$20+(1-README!$B$20)*I19)</f>
        <v/>
      </c>
      <c r="K19" s="4" t="n">
        <v>0.9058406544422697</v>
      </c>
    </row>
    <row r="20">
      <c r="A20" t="n">
        <v>180</v>
      </c>
      <c r="B20" s="4" t="n">
        <v>0.133436481916138</v>
      </c>
      <c r="C20" s="4" t="n">
        <v>0.03508238101091352</v>
      </c>
      <c r="D20" s="4" t="n">
        <v>0.1685188629270515</v>
      </c>
      <c r="E20" s="4">
        <f>README!$B$20/(README!$B$20+(1-README!$B$20)*D20)</f>
        <v/>
      </c>
      <c r="F20" s="4" t="n">
        <v>0.8001916785185971</v>
      </c>
      <c r="G20" s="4" t="n">
        <v>0.01647501589803446</v>
      </c>
      <c r="H20" s="4" t="n">
        <v>0.03900947196757876</v>
      </c>
      <c r="I20" s="4" t="n">
        <v>0.05548448786561322</v>
      </c>
      <c r="J20" s="4">
        <f>README!$B$20/(README!$B$20+(1-README!$B$20)*I20)</f>
        <v/>
      </c>
      <c r="K20" s="4" t="n">
        <v>0.9048358199940828</v>
      </c>
    </row>
    <row r="21">
      <c r="A21" t="n">
        <v>190</v>
      </c>
      <c r="B21" s="4" t="n">
        <v>0.1330241333933929</v>
      </c>
      <c r="C21" s="4" t="n">
        <v>0.03654391705485172</v>
      </c>
      <c r="D21" s="4" t="n">
        <v>0.1695680504482446</v>
      </c>
      <c r="E21" s="4">
        <f>README!$B$20/(README!$B$20+(1-README!$B$20)*D21)</f>
        <v/>
      </c>
      <c r="F21" s="4" t="n">
        <v>0.799467228207316</v>
      </c>
      <c r="G21" s="4" t="n">
        <v>0.01646042728162411</v>
      </c>
      <c r="H21" s="4" t="n">
        <v>0.0406862644329149</v>
      </c>
      <c r="I21" s="4" t="n">
        <v>0.05714669171453901</v>
      </c>
      <c r="J21" s="4">
        <f>README!$B$20/(README!$B$20+(1-README!$B$20)*I21)</f>
        <v/>
      </c>
      <c r="K21" s="4" t="n">
        <v>0.9041224240834109</v>
      </c>
    </row>
    <row r="22">
      <c r="A22" t="n">
        <v>200</v>
      </c>
      <c r="B22" s="4" t="n">
        <v>0.1327268102516116</v>
      </c>
      <c r="C22" s="4" t="n">
        <v>0.03801054975789731</v>
      </c>
      <c r="D22" s="4" t="n">
        <v>0.1707373600095089</v>
      </c>
      <c r="E22" s="4">
        <f>README!$B$20/(README!$B$20+(1-README!$B$20)*D22)</f>
        <v/>
      </c>
      <c r="F22" s="4" t="n">
        <v>0.7989406725255852</v>
      </c>
      <c r="G22" s="4" t="n">
        <v>0.01645611739727615</v>
      </c>
      <c r="H22" s="4" t="n">
        <v>0.04239588671795735</v>
      </c>
      <c r="I22" s="4" t="n">
        <v>0.0588520041152335</v>
      </c>
      <c r="J22" s="4">
        <f>README!$B$20/(README!$B$20+(1-README!$B$20)*I22)</f>
        <v/>
      </c>
      <c r="K22" s="4" t="n">
        <v>0.9036399204271582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2026-09-20T13:34:52Z</dcterms:created>
  <dcterms:modified xmlns:dcterms="http://purl.org/dc/terms/" xmlns:xsi="http://www.w3.org/2001/XMLSchema-instance" xsi:type="dcterms:W3CDTF">2026-09-20T13:34:52Z</dcterms:modified>
</cp:coreProperties>
</file>