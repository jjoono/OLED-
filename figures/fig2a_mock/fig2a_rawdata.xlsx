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nsub_1.5" sheetId="2" state="visible" r:id="rId4"/>
    <sheet name="nsub_1.8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<sst xmlns="http://schemas.openxmlformats.org/spreadsheetml/2006/main" count="67" uniqueCount="56">
  <si>
    <t xml:space="preserve">Fig. 2(a) — ITO thickness with an Al and an Ag reflector</t>
  </si>
  <si>
    <t xml:space="preserve">Raw data for the three panels: round-trip loss split into mirror and TCO parts, and the resulting extraction efficiency</t>
  </si>
  <si>
    <t xml:space="preserve">Stack</t>
  </si>
  <si>
    <t xml:space="preserve">Common part</t>
  </si>
  <si>
    <t xml:space="preserve">reflector 100 nm / ETL 200 nm / EML 20 nm (isotropic dipole at the centre) / HTL 200 nm / ITO (thickness swept) / substrate</t>
  </si>
  <si>
    <t xml:space="preserve">Reflector</t>
  </si>
  <si>
    <t xml:space="preserve">Al: Johnson-Christy-type n,k from the project library (0.958 + 6.687i at 550 nm).  Ag: McPeak measured n,k (0.044 + 3.819i)</t>
  </si>
  <si>
    <t xml:space="preserve">ITO</t>
  </si>
  <si>
    <t xml:space="preserve">n = 1.9 + 0.02i, thickness 30 to 200 nm in 10 nm steps</t>
  </si>
  <si>
    <t xml:space="preserve">Organics</t>
  </si>
  <si>
    <t xml:space="preserve">EML and HTL isotropic n = 1.8, k = 0; ETL isotropic n = 1.8 for this figure</t>
  </si>
  <si>
    <t xml:space="preserve">Wavelength</t>
  </si>
  <si>
    <t xml:space="preserve">550 nm, single wavelength, PLQY = 1, u grid 3000 points</t>
  </si>
  <si>
    <t xml:space="preserve">Quantities</t>
  </si>
  <si>
    <t xml:space="preserve">A' (total)</t>
  </si>
  <si>
    <t xml:space="preserve">round-trip loss = 1 minus the reflectance of the OLED stack seen from the substrate, flux-weighted over substrate angles and averaged over p and s</t>
  </si>
  <si>
    <t xml:space="preserve">A' mirror</t>
  </si>
  <si>
    <t xml:space="preserve">the same quantity recomputed with k_ITO = 0, so only the metal absorbs</t>
  </si>
  <si>
    <t xml:space="preserve">A' TCO</t>
  </si>
  <si>
    <t xml:space="preserve">the remainder, A'(total) minus A'(mirror).  These two stack to A'(total) — this is the split drawn in the left and centre panels</t>
  </si>
  <si>
    <t xml:space="preserve">eta_ext</t>
  </si>
  <si>
    <t xml:space="preserve">p / [p + (1-p) A'(total)].  FORMULA, driven by the p cell below</t>
  </si>
  <si>
    <t xml:space="preserve">eta_sub</t>
  </si>
  <si>
    <t xml:space="preserve">substrate-delivered power from the five-channel budget; not plotted in this figure but included for reference</t>
  </si>
  <si>
    <t xml:space="preserve">Input</t>
  </si>
  <si>
    <t xml:space="preserve">p at n_sub = 1.5</t>
  </si>
  <si>
    <t xml:space="preserve">p at n_sub = 1.8</t>
  </si>
  <si>
    <t xml:space="preserve">Source of p</t>
  </si>
  <si>
    <t xml:space="preserve">read off the single-pass-escape-probability curve; roughly 1/n_sub^2 (Yablonovitch 1982)</t>
  </si>
  <si>
    <t xml:space="preserve">Sheets</t>
  </si>
  <si>
    <t xml:space="preserve">nsub_1.5</t>
  </si>
  <si>
    <t xml:space="preserve">the panels as drawn: glass substrate with a microlens film</t>
  </si>
  <si>
    <t xml:space="preserve">nsub_1.8</t>
  </si>
  <si>
    <t xml:space="preserve">the same sweep on a high-index substrate, for the companion numbers quoted in the caption</t>
  </si>
  <si>
    <t xml:space="preserve">Provenance</t>
  </si>
  <si>
    <t xml:space="preserve">Script</t>
  </si>
  <si>
    <t xml:space="preserve">sim/design_rule4/dr4e.m (Octave), MODE=dbot, run with UNUM=3000</t>
  </si>
  <si>
    <t xml:space="preserve">Source files</t>
  </si>
  <si>
    <t xml:space="preserve">tco2_{al,ag}_{15,18}.csv (k_ITO = 0.02) and tco3_{al,ag}_{15,18}_k0.csv (k_ITO = 0)</t>
  </si>
  <si>
    <t xml:space="preserve">Repository</t>
  </si>
  <si>
    <t xml:space="preserve">jjoono/OLED-, branch claude/oled-efficiency-paper-ag-955zsk, figures/fig2a_mock/</t>
  </si>
  <si>
    <t xml:space="preserve">Panel as drawn: glass substrate with a microlens film, n_sub = 1.5</t>
  </si>
  <si>
    <t xml:space="preserve">A' mirror + A' TCO = A' total.  eta_ext is a formula driven by p in README!B19</t>
  </si>
  <si>
    <t xml:space="preserve">ITO thickness (nm)</t>
  </si>
  <si>
    <t xml:space="preserve">A' mirror (Al)</t>
  </si>
  <si>
    <t xml:space="preserve">A' TCO (Al)</t>
  </si>
  <si>
    <t xml:space="preserve">A' total (Al)</t>
  </si>
  <si>
    <t xml:space="preserve">eta_ext (Al)</t>
  </si>
  <si>
    <t xml:space="preserve">eta_sub (Al)</t>
  </si>
  <si>
    <t xml:space="preserve">A' mirror (Ag)</t>
  </si>
  <si>
    <t xml:space="preserve">A' TCO (Ag)</t>
  </si>
  <si>
    <t xml:space="preserve">A' total (Ag)</t>
  </si>
  <si>
    <t xml:space="preserve">eta_ext (Ag)</t>
  </si>
  <si>
    <t xml:space="preserve">eta_sub (Ag)</t>
  </si>
  <si>
    <t xml:space="preserve">Companion sweep on a high-index substrate, n_sub = 1.8</t>
  </si>
  <si>
    <t xml:space="preserve">A' mirror + A' TCO = A' total.  eta_ext is a formula driven by p in README!B20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</si>
</sst>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"/>
    <numFmt numFmtId="167" formatCode="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5.5" hidden="false" customHeight="true" outlineLevel="0" collapsed="false">
      <c r="A5" s="4" t="s">
        <v>3</v>
      </c>
      <c r="B5" s="5" t="s">
        <v>4</v>
      </c>
    </row>
    <row r="6" customFormat="false" ht="25.5" hidden="false" customHeight="true" outlineLevel="0" collapsed="false">
      <c r="A6" s="4" t="s">
        <v>5</v>
      </c>
      <c r="B6" s="5" t="s">
        <v>6</v>
      </c>
    </row>
    <row r="7" customFormat="false" ht="13.5" hidden="false" customHeight="true" outlineLevel="0" collapsed="false">
      <c r="A7" s="4" t="s">
        <v>7</v>
      </c>
      <c r="B7" s="5" t="s">
        <v>8</v>
      </c>
    </row>
    <row r="8" customFormat="false" ht="13.5" hidden="false" customHeight="true" outlineLevel="0" collapsed="false">
      <c r="A8" s="4" t="s">
        <v>9</v>
      </c>
      <c r="B8" s="5" t="s">
        <v>10</v>
      </c>
    </row>
    <row r="9" customFormat="false" ht="13.5" hidden="false" customHeight="true" outlineLevel="0" collapsed="false">
      <c r="A9" s="4" t="s">
        <v>11</v>
      </c>
      <c r="B9" s="5" t="s">
        <v>12</v>
      </c>
    </row>
    <row r="11" customFormat="false" ht="15" hidden="false" customHeight="false" outlineLevel="0" collapsed="false">
      <c r="A11" s="3" t="s">
        <v>13</v>
      </c>
    </row>
    <row r="12" customFormat="false" ht="25.5" hidden="false" customHeight="true" outlineLevel="0" collapsed="false">
      <c r="A12" s="4" t="s">
        <v>14</v>
      </c>
      <c r="B12" s="5" t="s">
        <v>15</v>
      </c>
    </row>
    <row r="13" customFormat="false" ht="13.5" hidden="false" customHeight="true" outlineLevel="0" collapsed="false">
      <c r="A13" s="4" t="s">
        <v>16</v>
      </c>
      <c r="B13" s="5" t="s">
        <v>17</v>
      </c>
    </row>
    <row r="14" customFormat="false" ht="25.5" hidden="false" customHeight="true" outlineLevel="0" collapsed="false">
      <c r="A14" s="4" t="s">
        <v>18</v>
      </c>
      <c r="B14" s="5" t="s">
        <v>19</v>
      </c>
    </row>
    <row r="15" customFormat="false" ht="13.5" hidden="false" customHeight="true" outlineLevel="0" collapsed="false">
      <c r="A15" s="4" t="s">
        <v>20</v>
      </c>
      <c r="B15" s="5" t="s">
        <v>21</v>
      </c>
    </row>
    <row r="16" customFormat="false" ht="13.5" hidden="false" customHeight="true" outlineLevel="0" collapsed="false">
      <c r="A16" s="4" t="s">
        <v>22</v>
      </c>
      <c r="B16" s="5" t="s">
        <v>23</v>
      </c>
    </row>
    <row r="18" customFormat="false" ht="15" hidden="false" customHeight="false" outlineLevel="0" collapsed="false">
      <c r="A18" s="3" t="s">
        <v>24</v>
      </c>
    </row>
    <row r="19" customFormat="false" ht="15" hidden="false" customHeight="false" outlineLevel="0" collapsed="false">
      <c r="A19" s="4" t="s">
        <v>25</v>
      </c>
      <c r="B19" s="6" t="n">
        <v>0.38</v>
      </c>
    </row>
    <row r="20" customFormat="false" ht="15" hidden="false" customHeight="false" outlineLevel="0" collapsed="false">
      <c r="A20" s="4" t="s">
        <v>26</v>
      </c>
      <c r="B20" s="6" t="n">
        <v>0.3</v>
      </c>
    </row>
    <row r="21" customFormat="false" ht="13.5" hidden="false" customHeight="true" outlineLevel="0" collapsed="false">
      <c r="A21" s="4" t="s">
        <v>27</v>
      </c>
      <c r="B21" s="5" t="s">
        <v>28</v>
      </c>
    </row>
    <row r="23" customFormat="false" ht="15" hidden="false" customHeight="false" outlineLevel="0" collapsed="false">
      <c r="A23" s="3" t="s">
        <v>29</v>
      </c>
    </row>
    <row r="24" customFormat="false" ht="13.5" hidden="false" customHeight="true" outlineLevel="0" collapsed="false">
      <c r="A24" s="4" t="s">
        <v>30</v>
      </c>
      <c r="B24" s="5" t="s">
        <v>31</v>
      </c>
    </row>
    <row r="25" customFormat="false" ht="13.5" hidden="false" customHeight="true" outlineLevel="0" collapsed="false">
      <c r="A25" s="4" t="s">
        <v>32</v>
      </c>
      <c r="B25" s="5" t="s">
        <v>33</v>
      </c>
    </row>
    <row r="27" customFormat="false" ht="15" hidden="false" customHeight="false" outlineLevel="0" collapsed="false">
      <c r="A27" s="3" t="s">
        <v>34</v>
      </c>
    </row>
    <row r="28" customFormat="false" ht="13.5" hidden="false" customHeight="true" outlineLevel="0" collapsed="false">
      <c r="A28" s="4" t="s">
        <v>35</v>
      </c>
      <c r="B28" s="5" t="s">
        <v>36</v>
      </c>
    </row>
    <row r="29" customFormat="false" ht="13.5" hidden="false" customHeight="true" outlineLevel="0" collapsed="false">
      <c r="A29" s="4" t="s">
        <v>37</v>
      </c>
      <c r="B29" s="5" t="s">
        <v>38</v>
      </c>
    </row>
    <row r="30" customFormat="false" ht="13.5" hidden="false" customHeight="true" outlineLevel="0" collapsed="false">
      <c r="A30" s="4" t="s">
        <v>39</v>
      </c>
      <c r="B30" s="5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1" min="2" style="0" width="14"/>
  </cols>
  <sheetData>
    <row r="1" customFormat="false" ht="15" hidden="false" customHeight="false" outlineLevel="0" collapsed="false">
      <c r="A1" s="2" t="s">
        <v>41</v>
      </c>
    </row>
    <row r="2" customFormat="false" ht="15" hidden="false" customHeight="false" outlineLevel="0" collapsed="false">
      <c r="A2" s="7" t="s">
        <v>42</v>
      </c>
    </row>
    <row r="4" customFormat="false" ht="31.5" hidden="false" customHeight="true" outlineLevel="0" collapsed="false">
      <c r="A4" s="8" t="s">
        <v>43</v>
      </c>
      <c r="B4" s="8" t="s">
        <v>44</v>
      </c>
      <c r="C4" s="8" t="s">
        <v>45</v>
      </c>
      <c r="D4" s="8" t="s">
        <v>46</v>
      </c>
      <c r="E4" s="8" t="s">
        <v>47</v>
      </c>
      <c r="F4" s="8" t="s">
        <v>48</v>
      </c>
      <c r="G4" s="8" t="s">
        <v>49</v>
      </c>
      <c r="H4" s="8" t="s">
        <v>50</v>
      </c>
      <c r="I4" s="8" t="s">
        <v>51</v>
      </c>
      <c r="J4" s="8" t="s">
        <v>52</v>
      </c>
      <c r="K4" s="8" t="s">
        <v>53</v>
      </c>
    </row>
    <row r="5" customFormat="false" ht="15" hidden="false" customHeight="false" outlineLevel="0" collapsed="false">
      <c r="A5" s="9" t="n">
        <v>30</v>
      </c>
      <c r="B5" s="10" t="n">
        <v>0.133958178791882</v>
      </c>
      <c r="C5" s="10" t="n">
        <v>0.0303975224674945</v>
      </c>
      <c r="D5" s="10" t="n">
        <v>0.164355701259377</v>
      </c>
      <c r="E5" s="10" t="n">
        <f aca="false">README!$B$19/(README!$B$19+(1-README!$B$19)*D5)</f>
        <v>0.788544466282525</v>
      </c>
      <c r="F5" s="10" t="n">
        <v>0.389506075594778</v>
      </c>
      <c r="G5" s="10" t="n">
        <v>0.0181394562124241</v>
      </c>
      <c r="H5" s="10" t="n">
        <v>0.0349005123774754</v>
      </c>
      <c r="I5" s="10" t="n">
        <v>0.0530399685898995</v>
      </c>
      <c r="J5" s="10" t="n">
        <f aca="false">README!$B$19/(README!$B$19+(1-README!$B$19)*I5)</f>
        <v>0.920353614187802</v>
      </c>
      <c r="K5" s="10" t="n">
        <v>0.45889123724314</v>
      </c>
    </row>
    <row r="6" customFormat="false" ht="15" hidden="false" customHeight="false" outlineLevel="0" collapsed="false">
      <c r="A6" s="9" t="n">
        <v>40</v>
      </c>
      <c r="B6" s="10" t="n">
        <v>0.134085363364128</v>
      </c>
      <c r="C6" s="10" t="n">
        <v>0.0387601124259467</v>
      </c>
      <c r="D6" s="10" t="n">
        <v>0.172845475790075</v>
      </c>
      <c r="E6" s="10" t="n">
        <f aca="false">README!$B$19/(README!$B$19+(1-README!$B$19)*D6)</f>
        <v>0.780024484369012</v>
      </c>
      <c r="F6" s="10" t="n">
        <v>0.386426840792079</v>
      </c>
      <c r="G6" s="10" t="n">
        <v>0.0182148474778222</v>
      </c>
      <c r="H6" s="10" t="n">
        <v>0.0449167110976209</v>
      </c>
      <c r="I6" s="10" t="n">
        <v>0.0631315585754431</v>
      </c>
      <c r="J6" s="10" t="n">
        <f aca="false">README!$B$19/(README!$B$19+(1-README!$B$19)*I6)</f>
        <v>0.906614925690303</v>
      </c>
      <c r="K6" s="10" t="n">
        <v>0.457623868601886</v>
      </c>
    </row>
    <row r="7" customFormat="false" ht="15" hidden="false" customHeight="false" outlineLevel="0" collapsed="false">
      <c r="A7" s="9" t="n">
        <v>50</v>
      </c>
      <c r="B7" s="10" t="n">
        <v>0.134587868387853</v>
      </c>
      <c r="C7" s="10" t="n">
        <v>0.0464562266547417</v>
      </c>
      <c r="D7" s="10" t="n">
        <v>0.181044095042594</v>
      </c>
      <c r="E7" s="10" t="n">
        <f aca="false">README!$B$19/(README!$B$19+(1-README!$B$19)*D7)</f>
        <v>0.771969637923854</v>
      </c>
      <c r="F7" s="10" t="n">
        <v>0.38447896895001</v>
      </c>
      <c r="G7" s="10" t="n">
        <v>0.0183579302507768</v>
      </c>
      <c r="H7" s="10" t="n">
        <v>0.0541239787724643</v>
      </c>
      <c r="I7" s="10" t="n">
        <v>0.0724819090232411</v>
      </c>
      <c r="J7" s="10" t="n">
        <f aca="false">README!$B$19/(README!$B$19+(1-README!$B$19)*I7)</f>
        <v>0.894246453067221</v>
      </c>
      <c r="K7" s="10" t="n">
        <v>0.454881921800778</v>
      </c>
    </row>
    <row r="8" customFormat="false" ht="15" hidden="false" customHeight="false" outlineLevel="0" collapsed="false">
      <c r="A8" s="9" t="n">
        <v>60</v>
      </c>
      <c r="B8" s="10" t="n">
        <v>0.135411863679589</v>
      </c>
      <c r="C8" s="10" t="n">
        <v>0.0535904890414677</v>
      </c>
      <c r="D8" s="10" t="n">
        <v>0.189002352721056</v>
      </c>
      <c r="E8" s="10" t="n">
        <f aca="false">README!$B$19/(README!$B$19+(1-README!$B$19)*D8)</f>
        <v>0.764308469997041</v>
      </c>
      <c r="F8" s="10" t="n">
        <v>0.383129206892142</v>
      </c>
      <c r="G8" s="10" t="n">
        <v>0.017791084266012</v>
      </c>
      <c r="H8" s="10" t="n">
        <v>0.0609789942854551</v>
      </c>
      <c r="I8" s="10" t="n">
        <v>0.078770078551467</v>
      </c>
      <c r="J8" s="10" t="n">
        <f aca="false">README!$B$19/(README!$B$19+(1-README!$B$19)*I8)</f>
        <v>0.886116641982317</v>
      </c>
      <c r="K8" s="10" t="n">
        <v>0.435790099226255</v>
      </c>
    </row>
    <row r="9" customFormat="false" ht="15" hidden="false" customHeight="false" outlineLevel="0" collapsed="false">
      <c r="A9" s="9" t="n">
        <v>70</v>
      </c>
      <c r="B9" s="10" t="n">
        <v>0.136117128363896</v>
      </c>
      <c r="C9" s="10" t="n">
        <v>0.0601739037463418</v>
      </c>
      <c r="D9" s="10" t="n">
        <v>0.196291032110238</v>
      </c>
      <c r="E9" s="10" t="n">
        <f aca="false">README!$B$19/(README!$B$19+(1-README!$B$19)*D9)</f>
        <v>0.75742409169388</v>
      </c>
      <c r="F9" s="10" t="n">
        <v>0.380417388689093</v>
      </c>
      <c r="G9" s="10" t="n">
        <v>0.0169997708648404</v>
      </c>
      <c r="H9" s="10" t="n">
        <v>0.0665875250167607</v>
      </c>
      <c r="I9" s="10" t="n">
        <v>0.0835872958816011</v>
      </c>
      <c r="J9" s="10" t="n">
        <f aca="false">README!$B$19/(README!$B$19+(1-README!$B$19)*I9)</f>
        <v>0.879987891753338</v>
      </c>
      <c r="K9" s="10" t="n">
        <v>0.412441714044514</v>
      </c>
    </row>
    <row r="10" customFormat="false" ht="15" hidden="false" customHeight="false" outlineLevel="0" collapsed="false">
      <c r="A10" s="9" t="n">
        <v>80</v>
      </c>
      <c r="B10" s="10" t="n">
        <v>0.134549502595809</v>
      </c>
      <c r="C10" s="10" t="n">
        <v>0.066663686849238</v>
      </c>
      <c r="D10" s="10" t="n">
        <v>0.201213189445047</v>
      </c>
      <c r="E10" s="10" t="n">
        <f aca="false">README!$B$19/(README!$B$19+(1-README!$B$19)*D10)</f>
        <v>0.752844696808026</v>
      </c>
      <c r="F10" s="10" t="n">
        <v>0.372148098688214</v>
      </c>
      <c r="G10" s="10" t="n">
        <v>0.0167829334500819</v>
      </c>
      <c r="H10" s="10" t="n">
        <v>0.0734991560230298</v>
      </c>
      <c r="I10" s="10" t="n">
        <v>0.0902820894731117</v>
      </c>
      <c r="J10" s="10" t="n">
        <f aca="false">README!$B$19/(README!$B$19+(1-README!$B$19)*I10)</f>
        <v>0.871609819614594</v>
      </c>
      <c r="K10" s="10" t="n">
        <v>0.401823216790405</v>
      </c>
    </row>
    <row r="11" customFormat="false" ht="15" hidden="false" customHeight="false" outlineLevel="0" collapsed="false">
      <c r="A11" s="9" t="n">
        <v>90</v>
      </c>
      <c r="B11" s="10" t="n">
        <v>0.131276880282283</v>
      </c>
      <c r="C11" s="10" t="n">
        <v>0.0738274038774598</v>
      </c>
      <c r="D11" s="10" t="n">
        <v>0.205104284159743</v>
      </c>
      <c r="E11" s="10" t="n">
        <f aca="false">README!$B$19/(README!$B$19+(1-README!$B$19)*D11)</f>
        <v>0.749263568291422</v>
      </c>
      <c r="F11" s="10" t="n">
        <v>0.36150839687671</v>
      </c>
      <c r="G11" s="10" t="n">
        <v>0.016853162299269</v>
      </c>
      <c r="H11" s="10" t="n">
        <v>0.0819507886564886</v>
      </c>
      <c r="I11" s="10" t="n">
        <v>0.0988039509557577</v>
      </c>
      <c r="J11" s="10" t="n">
        <f aca="false">README!$B$19/(README!$B$19+(1-README!$B$19)*I11)</f>
        <v>0.861173310904002</v>
      </c>
      <c r="K11" s="10" t="n">
        <v>0.398238302502604</v>
      </c>
    </row>
    <row r="12" customFormat="false" ht="15" hidden="false" customHeight="false" outlineLevel="0" collapsed="false">
      <c r="A12" s="9" t="n">
        <v>100</v>
      </c>
      <c r="B12" s="10" t="n">
        <v>0.130010982608381</v>
      </c>
      <c r="C12" s="10" t="n">
        <v>0.081523011252006</v>
      </c>
      <c r="D12" s="10" t="n">
        <v>0.211533993860387</v>
      </c>
      <c r="E12" s="10" t="n">
        <f aca="false">README!$B$19/(README!$B$19+(1-README!$B$19)*D12)</f>
        <v>0.743420130952034</v>
      </c>
      <c r="F12" s="10" t="n">
        <v>0.355300238135001</v>
      </c>
      <c r="G12" s="10" t="n">
        <v>0.0170375057675196</v>
      </c>
      <c r="H12" s="10" t="n">
        <v>0.0917593406688082</v>
      </c>
      <c r="I12" s="10" t="n">
        <v>0.108796846436328</v>
      </c>
      <c r="J12" s="10" t="n">
        <f aca="false">README!$B$19/(README!$B$19+(1-README!$B$19)*I12)</f>
        <v>0.849249223298223</v>
      </c>
      <c r="K12" s="10" t="n">
        <v>0.397638730045116</v>
      </c>
    </row>
    <row r="13" customFormat="false" ht="15" hidden="false" customHeight="false" outlineLevel="0" collapsed="false">
      <c r="A13" s="9" t="n">
        <v>110</v>
      </c>
      <c r="B13" s="10" t="n">
        <v>0.130041555617071</v>
      </c>
      <c r="C13" s="10" t="n">
        <v>0.0901798357203547</v>
      </c>
      <c r="D13" s="10" t="n">
        <v>0.220221391337426</v>
      </c>
      <c r="E13" s="10" t="n">
        <f aca="false">README!$B$19/(README!$B$19+(1-README!$B$19)*D13)</f>
        <v>0.735668125985294</v>
      </c>
      <c r="F13" s="10" t="n">
        <v>0.352450358181726</v>
      </c>
      <c r="G13" s="10" t="n">
        <v>0.017222869667461</v>
      </c>
      <c r="H13" s="10" t="n">
        <v>0.102501560829956</v>
      </c>
      <c r="I13" s="10" t="n">
        <v>0.119724430497417</v>
      </c>
      <c r="J13" s="10" t="n">
        <f aca="false">README!$B$19/(README!$B$19+(1-README!$B$19)*I13)</f>
        <v>0.836582158116402</v>
      </c>
      <c r="K13" s="10" t="n">
        <v>0.397555604332372</v>
      </c>
    </row>
    <row r="14" customFormat="false" ht="15" hidden="false" customHeight="false" outlineLevel="0" collapsed="false">
      <c r="A14" s="9" t="n">
        <v>120</v>
      </c>
      <c r="B14" s="10" t="n">
        <v>0.130444926860738</v>
      </c>
      <c r="C14" s="10" t="n">
        <v>0.0996071452499031</v>
      </c>
      <c r="D14" s="10" t="n">
        <v>0.230052072110641</v>
      </c>
      <c r="E14" s="10" t="n">
        <f aca="false">README!$B$19/(README!$B$19+(1-README!$B$19)*D14)</f>
        <v>0.727088645531869</v>
      </c>
      <c r="F14" s="10" t="n">
        <v>0.350772077653674</v>
      </c>
      <c r="G14" s="10" t="n">
        <v>0.0173518493274613</v>
      </c>
      <c r="H14" s="10" t="n">
        <v>0.113702204358478</v>
      </c>
      <c r="I14" s="10" t="n">
        <v>0.131054053685939</v>
      </c>
      <c r="J14" s="10" t="n">
        <f aca="false">README!$B$19/(README!$B$19+(1-README!$B$19)*I14)</f>
        <v>0.823841963378114</v>
      </c>
      <c r="K14" s="10" t="n">
        <v>0.396857452011521</v>
      </c>
    </row>
    <row r="15" customFormat="false" ht="15" hidden="false" customHeight="false" outlineLevel="0" collapsed="false">
      <c r="A15" s="9" t="n">
        <v>130</v>
      </c>
      <c r="B15" s="10" t="n">
        <v>0.130722097547566</v>
      </c>
      <c r="C15" s="10" t="n">
        <v>0.109431704002369</v>
      </c>
      <c r="D15" s="10" t="n">
        <v>0.240153801549935</v>
      </c>
      <c r="E15" s="10" t="n">
        <f aca="false">README!$B$19/(README!$B$19+(1-README!$B$19)*D15)</f>
        <v>0.718478608289332</v>
      </c>
      <c r="F15" s="10" t="n">
        <v>0.349111120496082</v>
      </c>
      <c r="G15" s="10" t="n">
        <v>0.0174120036482024</v>
      </c>
      <c r="H15" s="10" t="n">
        <v>0.124990983106505</v>
      </c>
      <c r="I15" s="10" t="n">
        <v>0.142402986754707</v>
      </c>
      <c r="J15" s="10" t="n">
        <f aca="false">README!$B$19/(README!$B$19+(1-README!$B$19)*I15)</f>
        <v>0.811463239165167</v>
      </c>
      <c r="K15" s="10" t="n">
        <v>0.395344131774844</v>
      </c>
    </row>
    <row r="16" customFormat="false" ht="15" hidden="false" customHeight="false" outlineLevel="0" collapsed="false">
      <c r="A16" s="9" t="n">
        <v>140</v>
      </c>
      <c r="B16" s="10" t="n">
        <v>0.130718341443976</v>
      </c>
      <c r="C16" s="10" t="n">
        <v>0.119321854691142</v>
      </c>
      <c r="D16" s="10" t="n">
        <v>0.250040196135119</v>
      </c>
      <c r="E16" s="10" t="n">
        <f aca="false">README!$B$19/(README!$B$19+(1-README!$B$19)*D16)</f>
        <v>0.71024728878222</v>
      </c>
      <c r="F16" s="10" t="n">
        <v>0.347172473982726</v>
      </c>
      <c r="G16" s="10" t="n">
        <v>0.0174165943197948</v>
      </c>
      <c r="H16" s="10" t="n">
        <v>0.136145121108994</v>
      </c>
      <c r="I16" s="10" t="n">
        <v>0.153561715428789</v>
      </c>
      <c r="J16" s="10" t="n">
        <f aca="false">README!$B$19/(README!$B$19+(1-README!$B$19)*I16)</f>
        <v>0.799649394033199</v>
      </c>
      <c r="K16" s="10" t="n">
        <v>0.393299711849067</v>
      </c>
    </row>
    <row r="17" customFormat="false" ht="15" hidden="false" customHeight="false" outlineLevel="0" collapsed="false">
      <c r="A17" s="9" t="n">
        <v>150</v>
      </c>
      <c r="B17" s="10" t="n">
        <v>0.130474679585978</v>
      </c>
      <c r="C17" s="10" t="n">
        <v>0.129052145793605</v>
      </c>
      <c r="D17" s="10" t="n">
        <v>0.259526825379583</v>
      </c>
      <c r="E17" s="10" t="n">
        <f aca="false">README!$B$19/(README!$B$19+(1-README!$B$19)*D17)</f>
        <v>0.70252420233947</v>
      </c>
      <c r="F17" s="10" t="n">
        <v>0.345118322973141</v>
      </c>
      <c r="G17" s="10" t="n">
        <v>0.0173888412736017</v>
      </c>
      <c r="H17" s="10" t="n">
        <v>0.147060666799852</v>
      </c>
      <c r="I17" s="10" t="n">
        <v>0.164449508073454</v>
      </c>
      <c r="J17" s="10" t="n">
        <f aca="false">README!$B$19/(README!$B$19+(1-README!$B$19)*I17)</f>
        <v>0.78844930890941</v>
      </c>
      <c r="K17" s="10" t="n">
        <v>0.391184708395229</v>
      </c>
    </row>
    <row r="18" customFormat="false" ht="15" hidden="false" customHeight="false" outlineLevel="0" collapsed="false">
      <c r="A18" s="9" t="n">
        <v>160</v>
      </c>
      <c r="B18" s="10" t="n">
        <v>0.130114799200115</v>
      </c>
      <c r="C18" s="10" t="n">
        <v>0.138494088848364</v>
      </c>
      <c r="D18" s="10" t="n">
        <v>0.268608888048479</v>
      </c>
      <c r="E18" s="10" t="n">
        <f aca="false">README!$B$19/(README!$B$19+(1-README!$B$19)*D18)</f>
        <v>0.69528622031769</v>
      </c>
      <c r="F18" s="10" t="n">
        <v>0.34327867012505</v>
      </c>
      <c r="G18" s="10" t="n">
        <v>0.0173537120559864</v>
      </c>
      <c r="H18" s="10" t="n">
        <v>0.157710987345417</v>
      </c>
      <c r="I18" s="10" t="n">
        <v>0.175064699401403</v>
      </c>
      <c r="J18" s="10" t="n">
        <f aca="false">README!$B$19/(README!$B$19+(1-README!$B$19)*I18)</f>
        <v>0.777827632571182</v>
      </c>
      <c r="K18" s="10" t="n">
        <v>0.389478784490689</v>
      </c>
    </row>
    <row r="19" customFormat="false" ht="15" hidden="false" customHeight="false" outlineLevel="0" collapsed="false">
      <c r="A19" s="9" t="n">
        <v>170</v>
      </c>
      <c r="B19" s="10" t="n">
        <v>0.129785205708963</v>
      </c>
      <c r="C19" s="10" t="n">
        <v>0.147585517233453</v>
      </c>
      <c r="D19" s="10" t="n">
        <v>0.277370722942416</v>
      </c>
      <c r="E19" s="10" t="n">
        <f aca="false">README!$B$19/(README!$B$19+(1-README!$B$19)*D19)</f>
        <v>0.688443401795352</v>
      </c>
      <c r="F19" s="10" t="n">
        <v>0.341992517179624</v>
      </c>
      <c r="G19" s="10" t="n">
        <v>0.0173351003864065</v>
      </c>
      <c r="H19" s="10" t="n">
        <v>0.168114614061156</v>
      </c>
      <c r="I19" s="10" t="n">
        <v>0.185449714447562</v>
      </c>
      <c r="J19" s="10" t="n">
        <f aca="false">README!$B$19/(README!$B$19+(1-README!$B$19)*I19)</f>
        <v>0.767709611755726</v>
      </c>
      <c r="K19" s="10" t="n">
        <v>0.388605564510637</v>
      </c>
    </row>
    <row r="20" customFormat="false" ht="15" hidden="false" customHeight="false" outlineLevel="0" collapsed="false">
      <c r="A20" s="9" t="n">
        <v>180</v>
      </c>
      <c r="B20" s="10" t="n">
        <v>0.129631472531031</v>
      </c>
      <c r="C20" s="10" t="n">
        <v>0.156297959592737</v>
      </c>
      <c r="D20" s="10" t="n">
        <v>0.285929432123768</v>
      </c>
      <c r="E20" s="10" t="n">
        <f aca="false">README!$B$19/(README!$B$19+(1-README!$B$19)*D20)</f>
        <v>0.68188802487196</v>
      </c>
      <c r="F20" s="10" t="n">
        <v>0.34151363179994</v>
      </c>
      <c r="G20" s="10" t="n">
        <v>0.0173554820554698</v>
      </c>
      <c r="H20" s="10" t="n">
        <v>0.178307140266989</v>
      </c>
      <c r="I20" s="10" t="n">
        <v>0.195662622322459</v>
      </c>
      <c r="J20" s="10" t="n">
        <f aca="false">README!$B$19/(README!$B$19+(1-README!$B$19)*I20)</f>
        <v>0.758012754588586</v>
      </c>
      <c r="K20" s="10" t="n">
        <v>0.388869120466916</v>
      </c>
    </row>
    <row r="21" customFormat="false" ht="15" hidden="false" customHeight="false" outlineLevel="0" collapsed="false">
      <c r="A21" s="9" t="n">
        <v>190</v>
      </c>
      <c r="B21" s="10" t="n">
        <v>0.129790107693428</v>
      </c>
      <c r="C21" s="10" t="n">
        <v>0.164595792411527</v>
      </c>
      <c r="D21" s="10" t="n">
        <v>0.294385900104956</v>
      </c>
      <c r="E21" s="10" t="n">
        <f aca="false">README!$B$19/(README!$B$19+(1-README!$B$19)*D21)</f>
        <v>0.675532427648977</v>
      </c>
      <c r="F21" s="10" t="n">
        <v>0.341934211096209</v>
      </c>
      <c r="G21" s="10" t="n">
        <v>0.0174359307624005</v>
      </c>
      <c r="H21" s="10" t="n">
        <v>0.188290868402498</v>
      </c>
      <c r="I21" s="10" t="n">
        <v>0.205726799164898</v>
      </c>
      <c r="J21" s="10" t="n">
        <f aca="false">README!$B$19/(README!$B$19+(1-README!$B$19)*I21)</f>
        <v>0.74869380197471</v>
      </c>
      <c r="K21" s="10" t="n">
        <v>0.390369194977946</v>
      </c>
    </row>
    <row r="22" customFormat="false" ht="15" hidden="false" customHeight="false" outlineLevel="0" collapsed="false">
      <c r="A22" s="9" t="n">
        <v>200</v>
      </c>
      <c r="B22" s="10" t="n">
        <v>0.130378716068252</v>
      </c>
      <c r="C22" s="10" t="n">
        <v>0.172352902715133</v>
      </c>
      <c r="D22" s="10" t="n">
        <v>0.302731618783385</v>
      </c>
      <c r="E22" s="10" t="n">
        <f aca="false">README!$B$19/(README!$B$19+(1-README!$B$19)*D22)</f>
        <v>0.669375165687371</v>
      </c>
      <c r="F22" s="10" t="n">
        <v>0.343130710169953</v>
      </c>
      <c r="G22" s="10" t="n">
        <v>0.0175946543507323</v>
      </c>
      <c r="H22" s="10" t="n">
        <v>0.197882210013094</v>
      </c>
      <c r="I22" s="10" t="n">
        <v>0.215476864363827</v>
      </c>
      <c r="J22" s="10" t="n">
        <f aca="false">README!$B$19/(README!$B$19+(1-README!$B$19)*I22)</f>
        <v>0.739881647421615</v>
      </c>
      <c r="K22" s="10" t="n">
        <v>0.392893190458264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1" min="2" style="0" width="14"/>
  </cols>
  <sheetData>
    <row r="1" customFormat="false" ht="15" hidden="false" customHeight="false" outlineLevel="0" collapsed="false">
      <c r="A1" s="2" t="s">
        <v>54</v>
      </c>
    </row>
    <row r="2" customFormat="false" ht="15" hidden="false" customHeight="false" outlineLevel="0" collapsed="false">
      <c r="A2" s="7" t="s">
        <v>55</v>
      </c>
    </row>
    <row r="4" customFormat="false" ht="31.5" hidden="false" customHeight="true" outlineLevel="0" collapsed="false">
      <c r="A4" s="8" t="s">
        <v>43</v>
      </c>
      <c r="B4" s="8" t="s">
        <v>44</v>
      </c>
      <c r="C4" s="8" t="s">
        <v>45</v>
      </c>
      <c r="D4" s="8" t="s">
        <v>46</v>
      </c>
      <c r="E4" s="8" t="s">
        <v>47</v>
      </c>
      <c r="F4" s="8" t="s">
        <v>48</v>
      </c>
      <c r="G4" s="8" t="s">
        <v>49</v>
      </c>
      <c r="H4" s="8" t="s">
        <v>50</v>
      </c>
      <c r="I4" s="8" t="s">
        <v>51</v>
      </c>
      <c r="J4" s="8" t="s">
        <v>52</v>
      </c>
      <c r="K4" s="8" t="s">
        <v>53</v>
      </c>
    </row>
    <row r="5" customFormat="false" ht="15" hidden="false" customHeight="false" outlineLevel="0" collapsed="false">
      <c r="A5" s="9" t="n">
        <v>30</v>
      </c>
      <c r="B5" s="10" t="n">
        <v>0.136970009369346</v>
      </c>
      <c r="C5" s="10" t="n">
        <v>0.0458351899937707</v>
      </c>
      <c r="D5" s="10" t="n">
        <v>0.182805199363117</v>
      </c>
      <c r="E5" s="10" t="n">
        <f aca="false">README!$B$20/(README!$B$20+(1-README!$B$20)*D5)</f>
        <v>0.700994131913907</v>
      </c>
      <c r="F5" s="10" t="n">
        <v>0.820355910839539</v>
      </c>
      <c r="G5" s="10" t="n">
        <v>0.0166622445656742</v>
      </c>
      <c r="H5" s="10" t="n">
        <v>0.0513732458835799</v>
      </c>
      <c r="I5" s="10" t="n">
        <v>0.0680354904492542</v>
      </c>
      <c r="J5" s="10" t="n">
        <f aca="false">README!$B$20/(README!$B$20+(1-README!$B$20)*I5)</f>
        <v>0.862999310232283</v>
      </c>
      <c r="K5" s="10" t="n">
        <v>0.931778959908523</v>
      </c>
    </row>
    <row r="6" customFormat="false" ht="15" hidden="false" customHeight="false" outlineLevel="0" collapsed="false">
      <c r="A6" s="9" t="n">
        <v>40</v>
      </c>
      <c r="B6" s="10" t="n">
        <v>0.13693938282249</v>
      </c>
      <c r="C6" s="10" t="n">
        <v>0.0586284293024096</v>
      </c>
      <c r="D6" s="10" t="n">
        <v>0.1955678121249</v>
      </c>
      <c r="E6" s="10" t="n">
        <f aca="false">README!$B$20/(README!$B$20+(1-README!$B$20)*D6)</f>
        <v>0.686659964038293</v>
      </c>
      <c r="F6" s="10" t="n">
        <v>0.80955890478358</v>
      </c>
      <c r="G6" s="10" t="n">
        <v>0.0166347508026498</v>
      </c>
      <c r="H6" s="10" t="n">
        <v>0.0658452880396451</v>
      </c>
      <c r="I6" s="10" t="n">
        <v>0.0824800388422948</v>
      </c>
      <c r="J6" s="10" t="n">
        <f aca="false">README!$B$20/(README!$B$20+(1-README!$B$20)*I6)</f>
        <v>0.83860717735593</v>
      </c>
      <c r="K6" s="10" t="n">
        <v>0.91969463551592</v>
      </c>
    </row>
    <row r="7" customFormat="false" ht="15" hidden="false" customHeight="false" outlineLevel="0" collapsed="false">
      <c r="A7" s="9" t="n">
        <v>50</v>
      </c>
      <c r="B7" s="10" t="n">
        <v>0.136912139298869</v>
      </c>
      <c r="C7" s="10" t="n">
        <v>0.0694774268458906</v>
      </c>
      <c r="D7" s="10" t="n">
        <v>0.206389566144759</v>
      </c>
      <c r="E7" s="10" t="n">
        <f aca="false">README!$B$20/(README!$B$20+(1-README!$B$20)*D7)</f>
        <v>0.674957095219667</v>
      </c>
      <c r="F7" s="10" t="n">
        <v>0.797786371592567</v>
      </c>
      <c r="G7" s="10" t="n">
        <v>0.0166185198202751</v>
      </c>
      <c r="H7" s="10" t="n">
        <v>0.078229437749339</v>
      </c>
      <c r="I7" s="10" t="n">
        <v>0.0948479575696141</v>
      </c>
      <c r="J7" s="10" t="n">
        <f aca="false">README!$B$20/(README!$B$20+(1-README!$B$20)*I7)</f>
        <v>0.818791660987398</v>
      </c>
      <c r="K7" s="10" t="n">
        <v>0.906372492901554</v>
      </c>
    </row>
    <row r="8" customFormat="false" ht="15" hidden="false" customHeight="false" outlineLevel="0" collapsed="false">
      <c r="A8" s="9" t="n">
        <v>60</v>
      </c>
      <c r="B8" s="10" t="n">
        <v>0.136891707597326</v>
      </c>
      <c r="C8" s="10" t="n">
        <v>0.0787656738053101</v>
      </c>
      <c r="D8" s="10" t="n">
        <v>0.215657381402636</v>
      </c>
      <c r="E8" s="10" t="n">
        <f aca="false">README!$B$20/(README!$B$20+(1-README!$B$20)*D8)</f>
        <v>0.665247225731308</v>
      </c>
      <c r="F8" s="10" t="n">
        <v>0.785111046435855</v>
      </c>
      <c r="G8" s="10" t="n">
        <v>0.0166174624179822</v>
      </c>
      <c r="H8" s="10" t="n">
        <v>0.0888286215614065</v>
      </c>
      <c r="I8" s="10" t="n">
        <v>0.105446083979389</v>
      </c>
      <c r="J8" s="10" t="n">
        <f aca="false">README!$B$20/(README!$B$20+(1-README!$B$20)*I8)</f>
        <v>0.802541898905695</v>
      </c>
      <c r="K8" s="10" t="n">
        <v>0.891882398528831</v>
      </c>
    </row>
    <row r="9" customFormat="false" ht="15" hidden="false" customHeight="false" outlineLevel="0" collapsed="false">
      <c r="A9" s="9" t="n">
        <v>70</v>
      </c>
      <c r="B9" s="10" t="n">
        <v>0.136880758740991</v>
      </c>
      <c r="C9" s="10" t="n">
        <v>0.0871376238112273</v>
      </c>
      <c r="D9" s="10" t="n">
        <v>0.224018382552218</v>
      </c>
      <c r="E9" s="10" t="n">
        <f aca="false">README!$B$20/(README!$B$20+(1-README!$B$20)*D9)</f>
        <v>0.656724057388366</v>
      </c>
      <c r="F9" s="10" t="n">
        <v>0.774592871645605</v>
      </c>
      <c r="G9" s="10" t="n">
        <v>0.0165892779737605</v>
      </c>
      <c r="H9" s="10" t="n">
        <v>0.0982124744617919</v>
      </c>
      <c r="I9" s="10" t="n">
        <v>0.114801752435552</v>
      </c>
      <c r="J9" s="10" t="n">
        <f aca="false">README!$B$20/(README!$B$20+(1-README!$B$20)*I9)</f>
        <v>0.788723925934656</v>
      </c>
      <c r="K9" s="10" t="n">
        <v>0.879260535608446</v>
      </c>
    </row>
    <row r="10" customFormat="false" ht="15" hidden="false" customHeight="false" outlineLevel="0" collapsed="false">
      <c r="A10" s="9" t="n">
        <v>80</v>
      </c>
      <c r="B10" s="10" t="n">
        <v>0.136662560787034</v>
      </c>
      <c r="C10" s="10" t="n">
        <v>0.0950971013203238</v>
      </c>
      <c r="D10" s="10" t="n">
        <v>0.231759662107358</v>
      </c>
      <c r="E10" s="10" t="n">
        <f aca="false">README!$B$20/(README!$B$20+(1-README!$B$20)*D10)</f>
        <v>0.649025064276285</v>
      </c>
      <c r="F10" s="10" t="n">
        <v>0.766005251520746</v>
      </c>
      <c r="G10" s="10" t="n">
        <v>0.0165390066460179</v>
      </c>
      <c r="H10" s="10" t="n">
        <v>0.107046899660977</v>
      </c>
      <c r="I10" s="10" t="n">
        <v>0.123585906306995</v>
      </c>
      <c r="J10" s="10" t="n">
        <f aca="false">README!$B$20/(README!$B$20+(1-README!$B$20)*I10)</f>
        <v>0.77617628436611</v>
      </c>
      <c r="K10" s="10" t="n">
        <v>0.868121917126684</v>
      </c>
    </row>
    <row r="11" customFormat="false" ht="15" hidden="false" customHeight="false" outlineLevel="0" collapsed="false">
      <c r="A11" s="9" t="n">
        <v>90</v>
      </c>
      <c r="B11" s="10" t="n">
        <v>0.1358999167757</v>
      </c>
      <c r="C11" s="10" t="n">
        <v>0.103243614711025</v>
      </c>
      <c r="D11" s="10" t="n">
        <v>0.239143531486725</v>
      </c>
      <c r="E11" s="10" t="n">
        <f aca="false">README!$B$20/(README!$B$20+(1-README!$B$20)*D11)</f>
        <v>0.641847875527759</v>
      </c>
      <c r="F11" s="10" t="n">
        <v>0.758748664999781</v>
      </c>
      <c r="G11" s="10" t="n">
        <v>0.0165208743666682</v>
      </c>
      <c r="H11" s="10" t="n">
        <v>0.115889835252193</v>
      </c>
      <c r="I11" s="10" t="n">
        <v>0.132410709618861</v>
      </c>
      <c r="J11" s="10" t="n">
        <f aca="false">README!$B$20/(README!$B$20+(1-README!$B$20)*I11)</f>
        <v>0.763966264512425</v>
      </c>
      <c r="K11" s="10" t="n">
        <v>0.858948406447596</v>
      </c>
    </row>
    <row r="12" customFormat="false" ht="15" hidden="false" customHeight="false" outlineLevel="0" collapsed="false">
      <c r="A12" s="9" t="n">
        <v>100</v>
      </c>
      <c r="B12" s="10" t="n">
        <v>0.134941501371733</v>
      </c>
      <c r="C12" s="10" t="n">
        <v>0.111559334533303</v>
      </c>
      <c r="D12" s="10" t="n">
        <v>0.246500835905037</v>
      </c>
      <c r="E12" s="10" t="n">
        <f aca="false">README!$B$20/(README!$B$20+(1-README!$B$20)*D12)</f>
        <v>0.634852668556597</v>
      </c>
      <c r="F12" s="10" t="n">
        <v>0.752491729041733</v>
      </c>
      <c r="G12" s="10" t="n">
        <v>0.0165191745808415</v>
      </c>
      <c r="H12" s="10" t="n">
        <v>0.124994733901612</v>
      </c>
      <c r="I12" s="10" t="n">
        <v>0.141513908482454</v>
      </c>
      <c r="J12" s="10" t="n">
        <f aca="false">README!$B$20/(README!$B$20+(1-README!$B$20)*I12)</f>
        <v>0.75176714908372</v>
      </c>
      <c r="K12" s="10" t="n">
        <v>0.851356075327891</v>
      </c>
    </row>
    <row r="13" customFormat="false" ht="15" hidden="false" customHeight="false" outlineLevel="0" collapsed="false">
      <c r="A13" s="9" t="n">
        <v>110</v>
      </c>
      <c r="B13" s="10" t="n">
        <v>0.134130866371217</v>
      </c>
      <c r="C13" s="10" t="n">
        <v>0.119918303309</v>
      </c>
      <c r="D13" s="10" t="n">
        <v>0.254049169680217</v>
      </c>
      <c r="E13" s="10" t="n">
        <f aca="false">README!$B$20/(README!$B$20+(1-README!$B$20)*D13)</f>
        <v>0.627832546613892</v>
      </c>
      <c r="F13" s="10" t="n">
        <v>0.746992785912842</v>
      </c>
      <c r="G13" s="10" t="n">
        <v>0.0165211557733855</v>
      </c>
      <c r="H13" s="10" t="n">
        <v>0.13438338355457</v>
      </c>
      <c r="I13" s="10" t="n">
        <v>0.150904539327956</v>
      </c>
      <c r="J13" s="10" t="n">
        <f aca="false">README!$B$20/(README!$B$20+(1-README!$B$20)*I13)</f>
        <v>0.73958447340795</v>
      </c>
      <c r="K13" s="10" t="n">
        <v>0.844846445842675</v>
      </c>
    </row>
    <row r="14" customFormat="false" ht="15" hidden="false" customHeight="false" outlineLevel="0" collapsed="false">
      <c r="A14" s="9" t="n">
        <v>120</v>
      </c>
      <c r="B14" s="10" t="n">
        <v>0.13347849160476</v>
      </c>
      <c r="C14" s="10" t="n">
        <v>0.128345364544973</v>
      </c>
      <c r="D14" s="10" t="n">
        <v>0.261823856149734</v>
      </c>
      <c r="E14" s="10" t="n">
        <f aca="false">README!$B$20/(README!$B$20+(1-README!$B$20)*D14)</f>
        <v>0.620762392293164</v>
      </c>
      <c r="F14" s="10" t="n">
        <v>0.742016515609132</v>
      </c>
      <c r="G14" s="10" t="n">
        <v>0.016518227475875</v>
      </c>
      <c r="H14" s="10" t="n">
        <v>0.143965124370188</v>
      </c>
      <c r="I14" s="10" t="n">
        <v>0.160483351846063</v>
      </c>
      <c r="J14" s="10" t="n">
        <f aca="false">README!$B$20/(README!$B$20+(1-README!$B$20)*I14)</f>
        <v>0.727557848300084</v>
      </c>
      <c r="K14" s="10" t="n">
        <v>0.839062638752006</v>
      </c>
    </row>
    <row r="15" customFormat="false" ht="15" hidden="false" customHeight="false" outlineLevel="0" collapsed="false">
      <c r="A15" s="9" t="n">
        <v>130</v>
      </c>
      <c r="B15" s="10" t="n">
        <v>0.132927840837635</v>
      </c>
      <c r="C15" s="10" t="n">
        <v>0.136818825685845</v>
      </c>
      <c r="D15" s="10" t="n">
        <v>0.26974666652348</v>
      </c>
      <c r="E15" s="10" t="n">
        <f aca="false">README!$B$20/(README!$B$20+(1-README!$B$20)*D15)</f>
        <v>0.613719494857399</v>
      </c>
      <c r="F15" s="10" t="n">
        <v>0.737374003979057</v>
      </c>
      <c r="G15" s="10" t="n">
        <v>0.0165062327954181</v>
      </c>
      <c r="H15" s="10" t="n">
        <v>0.153609707704825</v>
      </c>
      <c r="I15" s="10" t="n">
        <v>0.170115940500243</v>
      </c>
      <c r="J15" s="10" t="n">
        <f aca="false">README!$B$20/(README!$B$20+(1-README!$B$20)*I15)</f>
        <v>0.715851796298917</v>
      </c>
      <c r="K15" s="10" t="n">
        <v>0.833757559664484</v>
      </c>
    </row>
    <row r="16" customFormat="false" ht="15" hidden="false" customHeight="false" outlineLevel="0" collapsed="false">
      <c r="A16" s="9" t="n">
        <v>140</v>
      </c>
      <c r="B16" s="10" t="n">
        <v>0.132433619711536</v>
      </c>
      <c r="C16" s="10" t="n">
        <v>0.145271202503279</v>
      </c>
      <c r="D16" s="10" t="n">
        <v>0.277704822214814</v>
      </c>
      <c r="E16" s="10" t="n">
        <f aca="false">README!$B$20/(README!$B$20+(1-README!$B$20)*D16)</f>
        <v>0.60680424705536</v>
      </c>
      <c r="F16" s="10" t="n">
        <v>0.732934361833393</v>
      </c>
      <c r="G16" s="10" t="n">
        <v>0.016484954127732</v>
      </c>
      <c r="H16" s="10" t="n">
        <v>0.16319497267762</v>
      </c>
      <c r="I16" s="10" t="n">
        <v>0.179679926805352</v>
      </c>
      <c r="J16" s="10" t="n">
        <f aca="false">README!$B$20/(README!$B$20+(1-README!$B$20)*I16)</f>
        <v>0.704595928612359</v>
      </c>
      <c r="K16" s="10" t="n">
        <v>0.828764915179236</v>
      </c>
    </row>
    <row r="17" customFormat="false" ht="15" hidden="false" customHeight="false" outlineLevel="0" collapsed="false">
      <c r="A17" s="9" t="n">
        <v>150</v>
      </c>
      <c r="B17" s="10" t="n">
        <v>0.13197581451493</v>
      </c>
      <c r="C17" s="10" t="n">
        <v>0.153626786789346</v>
      </c>
      <c r="D17" s="10" t="n">
        <v>0.285602601304276</v>
      </c>
      <c r="E17" s="10" t="n">
        <f aca="false">README!$B$20/(README!$B$20+(1-README!$B$20)*D17)</f>
        <v>0.600093829575429</v>
      </c>
      <c r="F17" s="10" t="n">
        <v>0.728615518459283</v>
      </c>
      <c r="G17" s="10" t="n">
        <v>0.0164571068798849</v>
      </c>
      <c r="H17" s="10" t="n">
        <v>0.172635030829958</v>
      </c>
      <c r="I17" s="10" t="n">
        <v>0.189092137709843</v>
      </c>
      <c r="J17" s="10" t="n">
        <f aca="false">README!$B$20/(README!$B$20+(1-README!$B$20)*I17)</f>
        <v>0.693859006694699</v>
      </c>
      <c r="K17" s="10" t="n">
        <v>0.823975621112956</v>
      </c>
    </row>
    <row r="18" customFormat="false" ht="15" hidden="false" customHeight="false" outlineLevel="0" collapsed="false">
      <c r="A18" s="9" t="n">
        <v>160</v>
      </c>
      <c r="B18" s="10" t="n">
        <v>0.131556655183435</v>
      </c>
      <c r="C18" s="10" t="n">
        <v>0.161830557821552</v>
      </c>
      <c r="D18" s="10" t="n">
        <v>0.293387213004987</v>
      </c>
      <c r="E18" s="10" t="n">
        <f aca="false">README!$B$20/(README!$B$20+(1-README!$B$20)*D18)</f>
        <v>0.593623240848855</v>
      </c>
      <c r="F18" s="10" t="n">
        <v>0.724370849104748</v>
      </c>
      <c r="G18" s="10" t="n">
        <v>0.016427182690548</v>
      </c>
      <c r="H18" s="10" t="n">
        <v>0.181893235259004</v>
      </c>
      <c r="I18" s="10" t="n">
        <v>0.198320417949552</v>
      </c>
      <c r="J18" s="10" t="n">
        <f aca="false">README!$B$20/(README!$B$20+(1-README!$B$20)*I18)</f>
        <v>0.683644923681561</v>
      </c>
      <c r="K18" s="10" t="n">
        <v>0.819318947816538</v>
      </c>
    </row>
    <row r="19" customFormat="false" ht="15" hidden="false" customHeight="false" outlineLevel="0" collapsed="false">
      <c r="A19" s="9" t="n">
        <v>170</v>
      </c>
      <c r="B19" s="10" t="n">
        <v>0.13119317269958</v>
      </c>
      <c r="C19" s="10" t="n">
        <v>0.169863768118503</v>
      </c>
      <c r="D19" s="10" t="n">
        <v>0.301056940818083</v>
      </c>
      <c r="E19" s="10" t="n">
        <f aca="false">README!$B$20/(README!$B$20+(1-README!$B$20)*D19)</f>
        <v>0.58738317553362</v>
      </c>
      <c r="F19" s="10" t="n">
        <v>0.720176548859638</v>
      </c>
      <c r="G19" s="10" t="n">
        <v>0.0164003841431054</v>
      </c>
      <c r="H19" s="10" t="n">
        <v>0.190984664772551</v>
      </c>
      <c r="I19" s="10" t="n">
        <v>0.207385048915656</v>
      </c>
      <c r="J19" s="10" t="n">
        <f aca="false">README!$B$20/(README!$B$20+(1-README!$B$20)*I19)</f>
        <v>0.673900563549386</v>
      </c>
      <c r="K19" s="10" t="n">
        <v>0.814748050164835</v>
      </c>
    </row>
    <row r="20" customFormat="false" ht="15" hidden="false" customHeight="false" outlineLevel="0" collapsed="false">
      <c r="A20" s="9" t="n">
        <v>180</v>
      </c>
      <c r="B20" s="10" t="n">
        <v>0.130909500464092</v>
      </c>
      <c r="C20" s="10" t="n">
        <v>0.177748975999864</v>
      </c>
      <c r="D20" s="10" t="n">
        <v>0.308658476463956</v>
      </c>
      <c r="E20" s="10" t="n">
        <f aca="false">README!$B$20/(README!$B$20+(1-README!$B$20)*D20)</f>
        <v>0.581326700998189</v>
      </c>
      <c r="F20" s="10" t="n">
        <v>0.716021128248659</v>
      </c>
      <c r="G20" s="10" t="n">
        <v>0.0163817201731644</v>
      </c>
      <c r="H20" s="10" t="n">
        <v>0.19997158271599</v>
      </c>
      <c r="I20" s="10" t="n">
        <v>0.216353302889154</v>
      </c>
      <c r="J20" s="10" t="n">
        <f aca="false">README!$B$20/(README!$B$20+(1-README!$B$20)*I20)</f>
        <v>0.664529374770337</v>
      </c>
      <c r="K20" s="10" t="n">
        <v>0.810229084634896</v>
      </c>
    </row>
    <row r="21" customFormat="false" ht="15" hidden="false" customHeight="false" outlineLevel="0" collapsed="false">
      <c r="A21" s="9" t="n">
        <v>190</v>
      </c>
      <c r="B21" s="10" t="n">
        <v>0.130730064739612</v>
      </c>
      <c r="C21" s="10" t="n">
        <v>0.18554743742011</v>
      </c>
      <c r="D21" s="10" t="n">
        <v>0.316277502159723</v>
      </c>
      <c r="E21" s="10" t="n">
        <f aca="false">README!$B$20/(README!$B$20+(1-README!$B$20)*D21)</f>
        <v>0.575380336722426</v>
      </c>
      <c r="F21" s="10" t="n">
        <v>0.711897002387272</v>
      </c>
      <c r="G21" s="10" t="n">
        <v>0.0163752248347588</v>
      </c>
      <c r="H21" s="10" t="n">
        <v>0.208953130905996</v>
      </c>
      <c r="I21" s="10" t="n">
        <v>0.225328355740755</v>
      </c>
      <c r="J21" s="10" t="n">
        <f aca="false">README!$B$20/(README!$B$20+(1-README!$B$20)*I21)</f>
        <v>0.655408426265547</v>
      </c>
      <c r="K21" s="10" t="n">
        <v>0.805732987433407</v>
      </c>
    </row>
    <row r="22" customFormat="false" ht="15" hidden="false" customHeight="false" outlineLevel="0" collapsed="false">
      <c r="A22" s="9" t="n">
        <v>200</v>
      </c>
      <c r="B22" s="10" t="n">
        <v>0.13067365298607</v>
      </c>
      <c r="C22" s="10" t="n">
        <v>0.193350235717947</v>
      </c>
      <c r="D22" s="10" t="n">
        <v>0.324023888704016</v>
      </c>
      <c r="E22" s="10" t="n">
        <f aca="false">README!$B$20/(README!$B$20+(1-README!$B$20)*D22)</f>
        <v>0.569458005828349</v>
      </c>
      <c r="F22" s="10" t="n">
        <v>0.707793736950855</v>
      </c>
      <c r="G22" s="10" t="n">
        <v>0.0163832542884694</v>
      </c>
      <c r="H22" s="10" t="n">
        <v>0.218048855316989</v>
      </c>
      <c r="I22" s="10" t="n">
        <v>0.234432109605458</v>
      </c>
      <c r="J22" s="10" t="n">
        <f aca="false">README!$B$20/(README!$B$20+(1-README!$B$20)*I22)</f>
        <v>0.646408961481421</v>
      </c>
      <c r="K22" s="10" t="n">
        <v>0.801229338092142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2026-09-20T10:39:57Z</dcterms:created>
  <dc:creator>openpyxl</dc:creator>
  <dc:description/>
  <dc:language>en-US</dc:language>
  <cp:lastModifiedBy/>
  <dcterms:modified xsi:type="dcterms:W3CDTF">2026-09-20T10:39:57Z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