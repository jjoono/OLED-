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ig2b_2c" sheetId="2" state="visible" r:id="rId2"/>
    <sheet xmlns:r="http://schemas.openxmlformats.org/officeDocument/2006/relationships" name="Al_modes" sheetId="3" state="visible" r:id="rId3"/>
    <sheet xmlns:r="http://schemas.openxmlformats.org/officeDocument/2006/relationships" name="Ag_mod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/>
    </xf>
    <xf numFmtId="2" fontId="0" fillId="0" borderId="0" pivotButton="0" quotePrefix="0" xfId="0"/>
    <xf numFmtId="164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0" customWidth="1" min="1" max="1"/>
    <col width="104" customWidth="1" min="2" max="2"/>
  </cols>
  <sheetData>
    <row r="1">
      <c r="A1" s="1" t="inlineStr">
        <is>
          <t>Fig. 2(b) and 2(c) — substrate / outcoupling-structure index sweep</t>
        </is>
      </c>
    </row>
    <row r="2">
      <c r="A2" s="2" t="inlineStr">
        <is>
          <t>Raw data for the two square panels: (b) p and eta_ext, (c) eta_sub and EQE, each for an Al and an Ag reflector</t>
        </is>
      </c>
    </row>
    <row r="4">
      <c r="A4" s="2" t="inlineStr">
        <is>
          <t>Panels</t>
        </is>
      </c>
    </row>
    <row r="5">
      <c r="A5" s="2" t="inlineStr">
        <is>
          <t>(b)</t>
        </is>
      </c>
      <c r="B5" s="3" t="inlineStr">
        <is>
          <t>eta_ext against n_sub for both reflectors, with the single-pass escape probability p on the same axes</t>
        </is>
      </c>
    </row>
    <row r="6">
      <c r="A6" s="2" t="inlineStr">
        <is>
          <t>(c)</t>
        </is>
      </c>
      <c r="B6" s="3" t="inlineStr">
        <is>
          <t>eta_sub (dashed) and EQE = eta_sub x eta_ext (solid) against n_sub for both reflectors</t>
        </is>
      </c>
    </row>
    <row r="8">
      <c r="A8" s="2" t="inlineStr">
        <is>
          <t>Stack</t>
        </is>
      </c>
    </row>
    <row r="9">
      <c r="A9" s="2" t="inlineStr">
        <is>
          <t>Common part</t>
        </is>
      </c>
      <c r="B9" s="3" t="inlineStr">
        <is>
          <t>reflector 100 nm / ETL 200 nm / EML 20 nm (isotropic dipole at the centre) / HTL 200 nm / ITO 50 nm / substrate</t>
        </is>
      </c>
    </row>
    <row r="10">
      <c r="A10" s="2" t="inlineStr">
        <is>
          <t>Reflector</t>
        </is>
      </c>
      <c r="B10" s="3" t="inlineStr">
        <is>
          <t>Al: Johnson-Christy-type n,k from the project library (0.958 + 6.687i at 550 nm).  Ag: McPeak measured n,k (0.044 + 3.819i)</t>
        </is>
      </c>
    </row>
    <row r="11">
      <c r="A11" s="2" t="inlineStr">
        <is>
          <t>ITO</t>
        </is>
      </c>
      <c r="B11" s="3" t="inlineStr">
        <is>
          <t>n = 1.8636 + 0.0032285i at 550 nm — Koenig et al., ACS Nano 8, 6182 (2014); identical to the l_ITO entry of the project library.  Fixed at 50 nm</t>
        </is>
      </c>
    </row>
    <row r="12">
      <c r="A12" s="2" t="inlineStr">
        <is>
          <t>Organics</t>
        </is>
      </c>
      <c r="B12" s="3" t="inlineStr">
        <is>
          <t>EML, HTL and ETL isotropic n = 1.8, k = 0</t>
        </is>
      </c>
    </row>
    <row r="13">
      <c r="A13" s="2" t="inlineStr">
        <is>
          <t>Substrate</t>
        </is>
      </c>
      <c r="B13" s="3" t="inlineStr">
        <is>
          <t>index swept 1.30 to 2.00 in 0.05 steps, index-matched to the outcoupling structure</t>
        </is>
      </c>
    </row>
    <row r="14">
      <c r="A14" s="2" t="inlineStr">
        <is>
          <t>Wavelength</t>
        </is>
      </c>
      <c r="B14" s="3" t="inlineStr">
        <is>
          <t>550 nm, single wavelength, PLQY = 1, u grid 3000 points</t>
        </is>
      </c>
    </row>
    <row r="16">
      <c r="A16" s="2" t="inlineStr">
        <is>
          <t>Quantities</t>
        </is>
      </c>
    </row>
    <row r="17">
      <c r="A17" s="2" t="inlineStr">
        <is>
          <t>eta_sub</t>
        </is>
      </c>
      <c r="B17" s="3" t="inlineStr">
        <is>
          <t>substrate-delivered power from the five-channel budget: 1 minus waveguided, SPP and absorbed fractions</t>
        </is>
      </c>
    </row>
    <row r="18">
      <c r="A18" s="2" t="inlineStr">
        <is>
          <t>A'</t>
        </is>
      </c>
      <c r="B18" s="3" t="inlineStr">
        <is>
          <t>round-trip loss = 1 minus the reflectance of the OLED stack seen from the substrate, flux-weighted over substrate angles and averaged over p and s</t>
        </is>
      </c>
    </row>
    <row r="19">
      <c r="A19" s="2" t="inlineStr">
        <is>
          <t>p</t>
        </is>
      </c>
      <c r="B19" s="3" t="inlineStr">
        <is>
          <t>single-pass escape probability of the outcoupling structure, from the ray trace.  EDITABLE — column B of sheet fig2b_2c drives every eta_ext and EQE formula</t>
        </is>
      </c>
    </row>
    <row r="20">
      <c r="A20" s="2" t="inlineStr">
        <is>
          <t>eta_ext</t>
        </is>
      </c>
      <c r="B20" s="3" t="inlineStr">
        <is>
          <t>p / [p + (1-p) A'].  FORMULA</t>
        </is>
      </c>
    </row>
    <row r="21">
      <c r="A21" s="2" t="inlineStr">
        <is>
          <t>EQE</t>
        </is>
      </c>
      <c r="B21" s="3" t="inlineStr">
        <is>
          <t>eta_sub x eta_ext.  FORMULA</t>
        </is>
      </c>
    </row>
    <row r="22">
      <c r="A22" s="2" t="inlineStr">
        <is>
          <t>extraction loss</t>
        </is>
      </c>
      <c r="B22" s="3" t="inlineStr">
        <is>
          <t>eta_sub - EQE: what reached the substrate and never escaped.  This is the shaded band of panel (c).  FORMULA</t>
        </is>
      </c>
    </row>
    <row r="23">
      <c r="A23" s="2" t="inlineStr">
        <is>
          <t>p (flat interface)</t>
        </is>
      </c>
      <c r="B23" s="3" t="inlineStr">
        <is>
          <t>reference column only, not used by any formula: the escape probability of a flat substrate/air interface for angularly randomised light, mean Fresnel transmittance over the escape cone divided by n_sub^2 (Yablonovitch 1982, one-sided)</t>
        </is>
      </c>
    </row>
    <row r="25">
      <c r="A25" s="2" t="inlineStr">
        <is>
          <t>Sheets</t>
        </is>
      </c>
    </row>
    <row r="26">
      <c r="A26" s="2" t="inlineStr">
        <is>
          <t>fig2b_2c</t>
        </is>
      </c>
      <c r="B26" s="3" t="inlineStr">
        <is>
          <t>the plotted curves, with eta_ext and EQE as formulas</t>
        </is>
      </c>
    </row>
    <row r="27">
      <c r="A27" s="2" t="inlineStr">
        <is>
          <t>Al_modes</t>
        </is>
      </c>
      <c r="B27" s="3" t="inlineStr">
        <is>
          <t>the full five-channel power budget for the Al reflector, as the model returns it</t>
        </is>
      </c>
    </row>
    <row r="28">
      <c r="A28" s="2" t="inlineStr">
        <is>
          <t>Ag_modes</t>
        </is>
      </c>
      <c r="B28" s="3" t="inlineStr">
        <is>
          <t>the same for the Ag reflector</t>
        </is>
      </c>
    </row>
    <row r="30">
      <c r="A30" s="2" t="inlineStr">
        <is>
          <t>Provenance</t>
        </is>
      </c>
    </row>
    <row r="31">
      <c r="A31" s="2" t="inlineStr">
        <is>
          <t>Script</t>
        </is>
      </c>
      <c r="B31" s="3" t="inlineStr">
        <is>
          <t>sim/design_rule4/dr4f.m (Octave), MODE=nsub, run with UNUM=3000 and TOPMAT=al / ag</t>
        </is>
      </c>
    </row>
    <row r="32">
      <c r="A32" s="2" t="inlineStr">
        <is>
          <t>Source files</t>
        </is>
      </c>
      <c r="B32" s="3" t="inlineStr">
        <is>
          <t>nsub_al_konig.csv and nsub_ag_konig.csv (model output), fig2b_curves_konig.csv (the assembled curves).  The earlier n = 1.9 + 0.02i run is kept alongside as nsub_{al,ag}.csv / fig2b_curves.csv</t>
        </is>
      </c>
    </row>
    <row r="33">
      <c r="A33" s="2" t="inlineStr">
        <is>
          <t>p</t>
        </is>
      </c>
      <c r="B33" s="3" t="inlineStr">
        <is>
          <t>interpolated from the author's single-pass escape-probability curve: 0.665 / 0.470 / 0.380 / 0.355 / 0.335 / 0.305 / 0.275 / 0.248 at n_sub = 1.30 / 1.40 / 1.50 / 1.60 / 1.70 / 1.80 / 1.90 / 2.00</t>
        </is>
      </c>
    </row>
    <row r="34">
      <c r="A34" s="2" t="inlineStr">
        <is>
          <t>Caution</t>
        </is>
      </c>
      <c r="B34" s="3" t="inlineStr">
        <is>
          <t>column 9 of nsub_al_konig.csv and nsub_ag_konig.csv is eta_ext at the script's default p = 0.4 and is NOT the plotted curve; the workbook recomputes eta_ext from the p column</t>
        </is>
      </c>
    </row>
    <row r="35">
      <c r="A35" s="2" t="inlineStr">
        <is>
          <t>Repository</t>
        </is>
      </c>
      <c r="B35" s="3" t="inlineStr">
        <is>
          <t>jjoono/OLED-, branch claude/oled-efficiency-paper-ag-955zsk, figures/fig2b_mock/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1" customWidth="1" min="11" max="11"/>
    <col width="21" customWidth="1" min="12" max="12"/>
    <col width="21" customWidth="1" min="13" max="13"/>
    <col width="21" customWidth="1" min="14" max="14"/>
  </cols>
  <sheetData>
    <row r="1">
      <c r="A1" s="2" t="inlineStr">
        <is>
          <t>The curves as plotted in fig2bc_squares.png</t>
        </is>
      </c>
    </row>
    <row r="2">
      <c r="A2" t="inlineStr">
        <is>
          <t>eta_ext, EQE and the two loss columns are formulas; edit column B (yellow) to redraw everything with a different p</t>
        </is>
      </c>
    </row>
    <row r="4">
      <c r="A4" s="2" t="inlineStr">
        <is>
          <t>n_sub</t>
        </is>
      </c>
      <c r="B4" s="2" t="inlineStr">
        <is>
          <t>p</t>
        </is>
      </c>
      <c r="C4" s="2" t="inlineStr">
        <is>
          <t>eta_sub (Al)</t>
        </is>
      </c>
      <c r="D4" s="2" t="inlineStr">
        <is>
          <t>A' (Al)</t>
        </is>
      </c>
      <c r="E4" s="2" t="inlineStr">
        <is>
          <t>eta_ext (Al)</t>
        </is>
      </c>
      <c r="F4" s="2" t="inlineStr">
        <is>
          <t>EQE (Al)</t>
        </is>
      </c>
      <c r="G4" s="2" t="inlineStr">
        <is>
          <t>eta_sub (Ag)</t>
        </is>
      </c>
      <c r="H4" s="2" t="inlineStr">
        <is>
          <t>A' (Ag)</t>
        </is>
      </c>
      <c r="I4" s="2" t="inlineStr">
        <is>
          <t>eta_ext (Ag)</t>
        </is>
      </c>
      <c r="J4" s="2" t="inlineStr">
        <is>
          <t>EQE (Ag)</t>
        </is>
      </c>
      <c r="K4" s="2" t="inlineStr">
        <is>
          <t>eta_ext gap (Ag - Al)</t>
        </is>
      </c>
      <c r="L4" s="2" t="inlineStr">
        <is>
          <t>extraction loss (Al)</t>
        </is>
      </c>
      <c r="M4" s="2" t="inlineStr">
        <is>
          <t>extraction loss (Ag)</t>
        </is>
      </c>
      <c r="N4" s="2" t="inlineStr">
        <is>
          <t>p, flat interface (reference)</t>
        </is>
      </c>
    </row>
    <row r="5">
      <c r="A5" s="4" t="n">
        <v>1.3</v>
      </c>
      <c r="B5" s="5" t="n">
        <v>0.665</v>
      </c>
      <c r="C5" s="6" t="n">
        <v>0.2643436524424712</v>
      </c>
      <c r="D5" s="6" t="n">
        <v>0.127513651056066</v>
      </c>
      <c r="E5" s="6">
        <f>$B5/($B5+(1-$B5)*D5)</f>
        <v/>
      </c>
      <c r="F5" s="6">
        <f>C5*E5</f>
        <v/>
      </c>
      <c r="G5" s="6" t="n">
        <v>0.3102576096370601</v>
      </c>
      <c r="H5" s="6" t="n">
        <v>0.02467922944151324</v>
      </c>
      <c r="I5" s="6">
        <f>$B5/($B5+(1-$B5)*H5)</f>
        <v/>
      </c>
      <c r="J5" s="6">
        <f>G5*I5</f>
        <v/>
      </c>
      <c r="K5" s="6">
        <f>I5-E5</f>
        <v/>
      </c>
      <c r="L5" s="6">
        <f>C5-F5</f>
        <v/>
      </c>
      <c r="M5" s="6">
        <f>G5-J5</f>
        <v/>
      </c>
      <c r="N5" s="6" t="n">
        <v>0.5555426141807783</v>
      </c>
    </row>
    <row r="6">
      <c r="A6" s="4" t="n">
        <v>1.35</v>
      </c>
      <c r="B6" s="5" t="n">
        <v>0.5674999999999998</v>
      </c>
      <c r="C6" s="6" t="n">
        <v>0.2846069769589232</v>
      </c>
      <c r="D6" s="6" t="n">
        <v>0.1285904009083063</v>
      </c>
      <c r="E6" s="6">
        <f>$B6/($B6+(1-$B6)*D6)</f>
        <v/>
      </c>
      <c r="F6" s="6">
        <f>C6*E6</f>
        <v/>
      </c>
      <c r="G6" s="6" t="n">
        <v>0.3232301328544434</v>
      </c>
      <c r="H6" s="6" t="n">
        <v>0.02423035724052003</v>
      </c>
      <c r="I6" s="6">
        <f>$B6/($B6+(1-$B6)*H6)</f>
        <v/>
      </c>
      <c r="J6" s="6">
        <f>G6*I6</f>
        <v/>
      </c>
      <c r="K6" s="6">
        <f>I6-E6</f>
        <v/>
      </c>
      <c r="L6" s="6">
        <f>C6-F6</f>
        <v/>
      </c>
      <c r="M6" s="6">
        <f>G6-J6</f>
        <v/>
      </c>
      <c r="N6" s="6" t="n">
        <v>0.5107915418560387</v>
      </c>
    </row>
    <row r="7">
      <c r="A7" s="4" t="n">
        <v>1.4</v>
      </c>
      <c r="B7" s="5" t="n">
        <v>0.47</v>
      </c>
      <c r="C7" s="6" t="n">
        <v>0.3167121480835495</v>
      </c>
      <c r="D7" s="6" t="n">
        <v>0.1334600546963324</v>
      </c>
      <c r="E7" s="6">
        <f>$B7/($B7+(1-$B7)*D7)</f>
        <v/>
      </c>
      <c r="F7" s="6">
        <f>C7*E7</f>
        <v/>
      </c>
      <c r="G7" s="6" t="n">
        <v>0.3493549601261782</v>
      </c>
      <c r="H7" s="6" t="n">
        <v>0.0242200900544588</v>
      </c>
      <c r="I7" s="6">
        <f>$B7/($B7+(1-$B7)*H7)</f>
        <v/>
      </c>
      <c r="J7" s="6">
        <f>G7*I7</f>
        <v/>
      </c>
      <c r="K7" s="6">
        <f>I7-E7</f>
        <v/>
      </c>
      <c r="L7" s="6">
        <f>C7-F7</f>
        <v/>
      </c>
      <c r="M7" s="6">
        <f>G7-J7</f>
        <v/>
      </c>
      <c r="N7" s="6" t="n">
        <v>0.4710139087909155</v>
      </c>
    </row>
    <row r="8">
      <c r="A8" s="4" t="n">
        <v>1.45</v>
      </c>
      <c r="B8" s="5" t="n">
        <v>0.425</v>
      </c>
      <c r="C8" s="6" t="n">
        <v>0.3718099523933531</v>
      </c>
      <c r="D8" s="6" t="n">
        <v>0.144087229442619</v>
      </c>
      <c r="E8" s="6">
        <f>$B8/($B8+(1-$B8)*D8)</f>
        <v/>
      </c>
      <c r="F8" s="6">
        <f>C8*E8</f>
        <v/>
      </c>
      <c r="G8" s="6" t="n">
        <v>0.393044740502608</v>
      </c>
      <c r="H8" s="6" t="n">
        <v>0.02525198681334395</v>
      </c>
      <c r="I8" s="6">
        <f>$B8/($B8+(1-$B8)*H8)</f>
        <v/>
      </c>
      <c r="J8" s="6">
        <f>G8*I8</f>
        <v/>
      </c>
      <c r="K8" s="6">
        <f>I8-E8</f>
        <v/>
      </c>
      <c r="L8" s="6">
        <f>C8-F8</f>
        <v/>
      </c>
      <c r="M8" s="6">
        <f>G8-J8</f>
        <v/>
      </c>
      <c r="N8" s="6" t="n">
        <v>0.4354967086478286</v>
      </c>
    </row>
    <row r="9">
      <c r="A9" s="4" t="n">
        <v>1.5</v>
      </c>
      <c r="B9" s="5" t="n">
        <v>0.38</v>
      </c>
      <c r="C9" s="6" t="n">
        <v>0.3971364906508024</v>
      </c>
      <c r="D9" s="6" t="n">
        <v>0.1425860031475392</v>
      </c>
      <c r="E9" s="6">
        <f>$B9/($B9+(1-$B9)*D9)</f>
        <v/>
      </c>
      <c r="F9" s="6">
        <f>C9*E9</f>
        <v/>
      </c>
      <c r="G9" s="6" t="n">
        <v>0.4648878933082227</v>
      </c>
      <c r="H9" s="6" t="n">
        <v>0.02761053763287613</v>
      </c>
      <c r="I9" s="6">
        <f>$B9/($B9+(1-$B9)*H9)</f>
        <v/>
      </c>
      <c r="J9" s="6">
        <f>G9*I9</f>
        <v/>
      </c>
      <c r="K9" s="6">
        <f>I9-E9</f>
        <v/>
      </c>
      <c r="L9" s="6">
        <f>C9-F9</f>
        <v/>
      </c>
      <c r="M9" s="6">
        <f>G9-J9</f>
        <v/>
      </c>
      <c r="N9" s="6" t="n">
        <v>0.4036536942292964</v>
      </c>
    </row>
    <row r="10">
      <c r="A10" s="4" t="n">
        <v>1.55</v>
      </c>
      <c r="B10" s="5" t="n">
        <v>0.3675</v>
      </c>
      <c r="C10" s="6" t="n">
        <v>0.4254052938799134</v>
      </c>
      <c r="D10" s="6" t="n">
        <v>0.1402645134132884</v>
      </c>
      <c r="E10" s="6">
        <f>$B10/($B10+(1-$B10)*D10)</f>
        <v/>
      </c>
      <c r="F10" s="6">
        <f>C10*E10</f>
        <v/>
      </c>
      <c r="G10" s="6" t="n">
        <v>0.4965449423869523</v>
      </c>
      <c r="H10" s="6" t="n">
        <v>0.02700309134341428</v>
      </c>
      <c r="I10" s="6">
        <f>$B10/($B10+(1-$B10)*H10)</f>
        <v/>
      </c>
      <c r="J10" s="6">
        <f>G10*I10</f>
        <v/>
      </c>
      <c r="K10" s="6">
        <f>I10-E10</f>
        <v/>
      </c>
      <c r="L10" s="6">
        <f>C10-F10</f>
        <v/>
      </c>
      <c r="M10" s="6">
        <f>G10-J10</f>
        <v/>
      </c>
      <c r="N10" s="6" t="n">
        <v>0.374998094679025</v>
      </c>
    </row>
    <row r="11">
      <c r="A11" s="4" t="n">
        <v>1.6</v>
      </c>
      <c r="B11" s="5" t="n">
        <v>0.355</v>
      </c>
      <c r="C11" s="6" t="n">
        <v>0.5426338462761358</v>
      </c>
      <c r="D11" s="6" t="n">
        <v>0.1446627347371449</v>
      </c>
      <c r="E11" s="6">
        <f>$B11/($B11+(1-$B11)*D11)</f>
        <v/>
      </c>
      <c r="F11" s="6">
        <f>C11*E11</f>
        <v/>
      </c>
      <c r="G11" s="6" t="n">
        <v>0.5961745973282631</v>
      </c>
      <c r="H11" s="6" t="n">
        <v>0.02862634701144451</v>
      </c>
      <c r="I11" s="6">
        <f>$B11/($B11+(1-$B11)*H11)</f>
        <v/>
      </c>
      <c r="J11" s="6">
        <f>G11*I11</f>
        <v/>
      </c>
      <c r="K11" s="6">
        <f>I11-E11</f>
        <v/>
      </c>
      <c r="L11" s="6">
        <f>C11-F11</f>
        <v/>
      </c>
      <c r="M11" s="6">
        <f>G11-J11</f>
        <v/>
      </c>
      <c r="N11" s="6" t="n">
        <v>0.3491223309818853</v>
      </c>
    </row>
    <row r="12">
      <c r="A12" s="4" t="n">
        <v>1.65</v>
      </c>
      <c r="B12" s="5" t="n">
        <v>0.345</v>
      </c>
      <c r="C12" s="6" t="n">
        <v>0.5953914122155134</v>
      </c>
      <c r="D12" s="6" t="n">
        <v>0.1419769693230359</v>
      </c>
      <c r="E12" s="6">
        <f>$B12/($B12+(1-$B12)*D12)</f>
        <v/>
      </c>
      <c r="F12" s="6">
        <f>C12*E12</f>
        <v/>
      </c>
      <c r="G12" s="6" t="n">
        <v>0.6700142925330348</v>
      </c>
      <c r="H12" s="6" t="n">
        <v>0.02848420353442793</v>
      </c>
      <c r="I12" s="6">
        <f>$B12/($B12+(1-$B12)*H12)</f>
        <v/>
      </c>
      <c r="J12" s="6">
        <f>G12*I12</f>
        <v/>
      </c>
      <c r="K12" s="6">
        <f>I12-E12</f>
        <v/>
      </c>
      <c r="L12" s="6">
        <f>C12-F12</f>
        <v/>
      </c>
      <c r="M12" s="6">
        <f>G12-J12</f>
        <v/>
      </c>
      <c r="N12" s="6" t="n">
        <v>0.3256826182327374</v>
      </c>
    </row>
    <row r="13">
      <c r="A13" s="4" t="n">
        <v>1.7</v>
      </c>
      <c r="B13" s="5" t="n">
        <v>0.335</v>
      </c>
      <c r="C13" s="6" t="n">
        <v>0.6463252042063352</v>
      </c>
      <c r="D13" s="6" t="n">
        <v>0.1403940097162457</v>
      </c>
      <c r="E13" s="6">
        <f>$B13/($B13+(1-$B13)*D13)</f>
        <v/>
      </c>
      <c r="F13" s="6">
        <f>C13*E13</f>
        <v/>
      </c>
      <c r="G13" s="6" t="n">
        <v>0.7152268381342591</v>
      </c>
      <c r="H13" s="6" t="n">
        <v>0.02726715260983725</v>
      </c>
      <c r="I13" s="6">
        <f>$B13/($B13+(1-$B13)*H13)</f>
        <v/>
      </c>
      <c r="J13" s="6">
        <f>G13*I13</f>
        <v/>
      </c>
      <c r="K13" s="6">
        <f>I13-E13</f>
        <v/>
      </c>
      <c r="L13" s="6">
        <f>C13-F13</f>
        <v/>
      </c>
      <c r="M13" s="6">
        <f>G13-J13</f>
        <v/>
      </c>
      <c r="N13" s="6" t="n">
        <v>0.3043870816108616</v>
      </c>
    </row>
    <row r="14">
      <c r="A14" s="4" t="n">
        <v>1.75</v>
      </c>
      <c r="B14" s="5" t="n">
        <v>0.32</v>
      </c>
      <c r="C14" s="6" t="n">
        <v>0.7272278417955491</v>
      </c>
      <c r="D14" s="6" t="n">
        <v>0.1448159499572754</v>
      </c>
      <c r="E14" s="6">
        <f>$B14/($B14+(1-$B14)*D14)</f>
        <v/>
      </c>
      <c r="F14" s="6">
        <f>C14*E14</f>
        <v/>
      </c>
      <c r="G14" s="6" t="n">
        <v>0.8091242106824427</v>
      </c>
      <c r="H14" s="6" t="n">
        <v>0.02714463189577498</v>
      </c>
      <c r="I14" s="6">
        <f>$B14/($B14+(1-$B14)*H14)</f>
        <v/>
      </c>
      <c r="J14" s="6">
        <f>G14*I14</f>
        <v/>
      </c>
      <c r="K14" s="6">
        <f>I14-E14</f>
        <v/>
      </c>
      <c r="L14" s="6">
        <f>C14-F14</f>
        <v/>
      </c>
      <c r="M14" s="6">
        <f>G14-J14</f>
        <v/>
      </c>
      <c r="N14" s="6" t="n">
        <v>0.284986457384909</v>
      </c>
    </row>
    <row r="15">
      <c r="A15" s="4" t="n">
        <v>1.8</v>
      </c>
      <c r="B15" s="5" t="n">
        <v>0.305</v>
      </c>
      <c r="C15" s="6" t="n">
        <v>0.8417932956443259</v>
      </c>
      <c r="D15" s="6" t="n">
        <v>0.149691844732431</v>
      </c>
      <c r="E15" s="6">
        <f>$B15/($B15+(1-$B15)*D15)</f>
        <v/>
      </c>
      <c r="F15" s="6">
        <f>C15*E15</f>
        <v/>
      </c>
      <c r="G15" s="6" t="n">
        <v>0.9564053370395643</v>
      </c>
      <c r="H15" s="6" t="n">
        <v>0.03101144029276803</v>
      </c>
      <c r="I15" s="6">
        <f>$B15/($B15+(1-$B15)*H15)</f>
        <v/>
      </c>
      <c r="J15" s="6">
        <f>G15*I15</f>
        <v/>
      </c>
      <c r="K15" s="6">
        <f>I15-E15</f>
        <v/>
      </c>
      <c r="L15" s="6">
        <f>C15-F15</f>
        <v/>
      </c>
      <c r="M15" s="6">
        <f>G15-J15</f>
        <v/>
      </c>
      <c r="N15" s="6" t="n">
        <v>0.2672667313252264</v>
      </c>
    </row>
    <row r="16">
      <c r="A16" s="4" t="n">
        <v>1.85</v>
      </c>
      <c r="B16" s="5" t="n">
        <v>0.29</v>
      </c>
      <c r="C16" s="6" t="n">
        <v>0.8446524578282923</v>
      </c>
      <c r="D16" s="6" t="n">
        <v>0.1458192855974815</v>
      </c>
      <c r="E16" s="6">
        <f>$B16/($B16+(1-$B16)*D16)</f>
        <v/>
      </c>
      <c r="F16" s="6">
        <f>C16*E16</f>
        <v/>
      </c>
      <c r="G16" s="6" t="n">
        <v>0.9581165835015284</v>
      </c>
      <c r="H16" s="6" t="n">
        <v>0.02980749399405036</v>
      </c>
      <c r="I16" s="6">
        <f>$B16/($B16+(1-$B16)*H16)</f>
        <v/>
      </c>
      <c r="J16" s="6">
        <f>G16*I16</f>
        <v/>
      </c>
      <c r="K16" s="6">
        <f>I16-E16</f>
        <v/>
      </c>
      <c r="L16" s="6">
        <f>C16-F16</f>
        <v/>
      </c>
      <c r="M16" s="6">
        <f>G16-J16</f>
        <v/>
      </c>
      <c r="N16" s="6" t="n">
        <v>0.2510432517074033</v>
      </c>
    </row>
    <row r="17">
      <c r="A17" s="4" t="n">
        <v>1.9</v>
      </c>
      <c r="B17" s="5" t="n">
        <v>0.275</v>
      </c>
      <c r="C17" s="6" t="n">
        <v>0.8496464096317363</v>
      </c>
      <c r="D17" s="6" t="n">
        <v>0.1429699104615599</v>
      </c>
      <c r="E17" s="6">
        <f>$B17/($B17+(1-$B17)*D17)</f>
        <v/>
      </c>
      <c r="F17" s="6">
        <f>C17*E17</f>
        <v/>
      </c>
      <c r="G17" s="6" t="n">
        <v>0.9585272683290416</v>
      </c>
      <c r="H17" s="6" t="n">
        <v>0.02857666161312056</v>
      </c>
      <c r="I17" s="6">
        <f>$B17/($B17+(1-$B17)*H17)</f>
        <v/>
      </c>
      <c r="J17" s="6">
        <f>G17*I17</f>
        <v/>
      </c>
      <c r="K17" s="6">
        <f>I17-E17</f>
        <v/>
      </c>
      <c r="L17" s="6">
        <f>C17-F17</f>
        <v/>
      </c>
      <c r="M17" s="6">
        <f>G17-J17</f>
        <v/>
      </c>
      <c r="N17" s="6" t="n">
        <v>0.236155979456892</v>
      </c>
    </row>
    <row r="18">
      <c r="A18" s="4" t="n">
        <v>1.95</v>
      </c>
      <c r="B18" s="5" t="n">
        <v>0.2615</v>
      </c>
      <c r="C18" s="6" t="n">
        <v>0.8509849593837161</v>
      </c>
      <c r="D18" s="6" t="n">
        <v>0.135962854140796</v>
      </c>
      <c r="E18" s="6">
        <f>$B18/($B18+(1-$B18)*D18)</f>
        <v/>
      </c>
      <c r="F18" s="6">
        <f>C18*E18</f>
        <v/>
      </c>
      <c r="G18" s="6" t="n">
        <v>0.9588130841108791</v>
      </c>
      <c r="H18" s="6" t="n">
        <v>0.02741875995814513</v>
      </c>
      <c r="I18" s="6">
        <f>$B18/($B18+(1-$B18)*H18)</f>
        <v/>
      </c>
      <c r="J18" s="6">
        <f>G18*I18</f>
        <v/>
      </c>
      <c r="K18" s="6">
        <f>I18-E18</f>
        <v/>
      </c>
      <c r="L18" s="6">
        <f>C18-F18</f>
        <v/>
      </c>
      <c r="M18" s="6">
        <f>G18-J18</f>
        <v/>
      </c>
      <c r="N18" s="6" t="n">
        <v>0.2224656252191622</v>
      </c>
    </row>
    <row r="19">
      <c r="A19" s="4" t="n">
        <v>2</v>
      </c>
      <c r="B19" s="5" t="n">
        <v>0.248</v>
      </c>
      <c r="C19" s="6" t="n">
        <v>0.8511194700177727</v>
      </c>
      <c r="D19" s="6" t="n">
        <v>0.1291310523745816</v>
      </c>
      <c r="E19" s="6">
        <f>$B19/($B19+(1-$B19)*D19)</f>
        <v/>
      </c>
      <c r="F19" s="6">
        <f>C19*E19</f>
        <v/>
      </c>
      <c r="G19" s="6" t="n">
        <v>0.9590369961667355</v>
      </c>
      <c r="H19" s="6" t="n">
        <v>0.02633755973635477</v>
      </c>
      <c r="I19" s="6">
        <f>$B19/($B19+(1-$B19)*H19)</f>
        <v/>
      </c>
      <c r="J19" s="6">
        <f>G19*I19</f>
        <v/>
      </c>
      <c r="K19" s="6">
        <f>I19-E19</f>
        <v/>
      </c>
      <c r="L19" s="6">
        <f>C19-F19</f>
        <v/>
      </c>
      <c r="M19" s="6">
        <f>G19-J19</f>
        <v/>
      </c>
      <c r="N19" s="6" t="n">
        <v>0.2098504851395527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7" customWidth="1" min="3" max="3"/>
    <col width="17" customWidth="1" min="4" max="4"/>
    <col width="17" customWidth="1" min="5" max="5"/>
    <col width="22" customWidth="1" min="6" max="6"/>
    <col width="22" customWidth="1" min="7" max="7"/>
    <col width="17" customWidth="1" min="8" max="8"/>
    <col width="17" customWidth="1" min="9" max="9"/>
    <col width="17" customWidth="1" min="10" max="10"/>
  </cols>
  <sheetData>
    <row r="1">
      <c r="A1" s="2" t="inlineStr">
        <is>
          <t>Five-channel power budget, Al reflector — as dr4f.m returns it</t>
        </is>
      </c>
    </row>
    <row r="2">
      <c r="A2" t="inlineStr">
        <is>
          <t>Columns B to E sum to 1 at PLQY = 1 (column J is the check).  F and G split the absorbed fraction by layer.</t>
        </is>
      </c>
    </row>
    <row r="4">
      <c r="A4" s="2" t="inlineStr">
        <is>
          <t>n_sub</t>
        </is>
      </c>
      <c r="B4" s="2" t="inlineStr">
        <is>
          <t>eta_sub</t>
        </is>
      </c>
      <c r="C4" s="2" t="inlineStr">
        <is>
          <t>waveguided</t>
        </is>
      </c>
      <c r="D4" s="2" t="inlineStr">
        <is>
          <t>SPP</t>
        </is>
      </c>
      <c r="E4" s="2" t="inlineStr">
        <is>
          <t>absorbed (total)</t>
        </is>
      </c>
      <c r="F4" s="2" t="inlineStr">
        <is>
          <t xml:space="preserve">  in the reflector</t>
        </is>
      </c>
      <c r="G4" s="2" t="inlineStr">
        <is>
          <t xml:space="preserve">  in the TCO / organics</t>
        </is>
      </c>
      <c r="H4" s="2" t="inlineStr">
        <is>
          <t>A' (round trip)</t>
        </is>
      </c>
      <c r="I4" s="2" t="inlineStr">
        <is>
          <t>eta_ext at p = 0.4</t>
        </is>
      </c>
      <c r="J4" s="2" t="inlineStr">
        <is>
          <t>sum check</t>
        </is>
      </c>
    </row>
    <row r="5">
      <c r="A5" s="4" t="n">
        <v>1.3</v>
      </c>
      <c r="B5" s="6" t="n">
        <v>0.2643436524424712</v>
      </c>
      <c r="C5" s="6" t="n">
        <v>0.6314549124732671</v>
      </c>
      <c r="D5" s="6" t="n">
        <v>0.08443368721221765</v>
      </c>
      <c r="E5" s="6" t="n">
        <v>0.0197677478720459</v>
      </c>
      <c r="F5" s="6" t="n">
        <v>0.01834648276869922</v>
      </c>
      <c r="G5" s="6" t="n">
        <v>0.001421265103346674</v>
      </c>
      <c r="H5" s="6" t="n">
        <v>0.127513651056066</v>
      </c>
      <c r="I5" s="6" t="n">
        <v>0.8394399254042152</v>
      </c>
      <c r="J5" s="6">
        <f>B5+C5+D5+E5</f>
        <v/>
      </c>
    </row>
    <row r="6">
      <c r="A6" s="4" t="n">
        <v>1.35</v>
      </c>
      <c r="B6" s="6" t="n">
        <v>0.2846069769589232</v>
      </c>
      <c r="C6" s="6" t="n">
        <v>0.6084478618170807</v>
      </c>
      <c r="D6" s="6" t="n">
        <v>0.08441670612170357</v>
      </c>
      <c r="E6" s="6" t="n">
        <v>0.02252845510229628</v>
      </c>
      <c r="F6" s="6" t="n">
        <v>0.02103525789285884</v>
      </c>
      <c r="G6" s="6" t="n">
        <v>0.001493197209437435</v>
      </c>
      <c r="H6" s="6" t="n">
        <v>0.1285904009083063</v>
      </c>
      <c r="I6" s="6" t="n">
        <v>0.8383033535301673</v>
      </c>
      <c r="J6" s="6">
        <f>B6+C6+D6+E6</f>
        <v/>
      </c>
    </row>
    <row r="7">
      <c r="A7" s="4" t="n">
        <v>1.4</v>
      </c>
      <c r="B7" s="6" t="n">
        <v>0.3167121480835495</v>
      </c>
      <c r="C7" s="6" t="n">
        <v>0.5710661495692642</v>
      </c>
      <c r="D7" s="6" t="n">
        <v>0.0842981461951154</v>
      </c>
      <c r="E7" s="6" t="n">
        <v>0.02792355615207419</v>
      </c>
      <c r="F7" s="6" t="n">
        <v>0.02619577381779789</v>
      </c>
      <c r="G7" s="6" t="n">
        <v>0.001727782334276296</v>
      </c>
      <c r="H7" s="6" t="n">
        <v>0.1334600546963324</v>
      </c>
      <c r="I7" s="6" t="n">
        <v>0.8332013528194809</v>
      </c>
      <c r="J7" s="6">
        <f>B7+C7+D7+E7</f>
        <v/>
      </c>
    </row>
    <row r="8">
      <c r="A8" s="4" t="n">
        <v>1.45</v>
      </c>
      <c r="B8" s="6" t="n">
        <v>0.3718099523933531</v>
      </c>
      <c r="C8" s="6" t="n">
        <v>0.5042255886889814</v>
      </c>
      <c r="D8" s="6" t="n">
        <v>0.08428159257185963</v>
      </c>
      <c r="E8" s="6" t="n">
        <v>0.03968286634581038</v>
      </c>
      <c r="F8" s="6" t="n">
        <v>0.03732876677877972</v>
      </c>
      <c r="G8" s="6" t="n">
        <v>0.002354099567030664</v>
      </c>
      <c r="H8" s="6" t="n">
        <v>0.144087229442619</v>
      </c>
      <c r="I8" s="6" t="n">
        <v>0.8222799419971005</v>
      </c>
      <c r="J8" s="6">
        <f>B8+C8+D8+E8</f>
        <v/>
      </c>
    </row>
    <row r="9">
      <c r="A9" s="4" t="n">
        <v>1.5</v>
      </c>
      <c r="B9" s="6" t="n">
        <v>0.3971364906508024</v>
      </c>
      <c r="C9" s="6" t="n">
        <v>0.4796738151947358</v>
      </c>
      <c r="D9" s="6" t="n">
        <v>0.08425332218106102</v>
      </c>
      <c r="E9" s="6" t="n">
        <v>0.03893637197340265</v>
      </c>
      <c r="F9" s="6" t="n">
        <v>0.03661623425014537</v>
      </c>
      <c r="G9" s="6" t="n">
        <v>0.002320137723257271</v>
      </c>
      <c r="H9" s="6" t="n">
        <v>0.1425860031475392</v>
      </c>
      <c r="I9" s="6" t="n">
        <v>0.8238053348896889</v>
      </c>
      <c r="J9" s="6">
        <f>B9+C9+D9+E9</f>
        <v/>
      </c>
    </row>
    <row r="10">
      <c r="A10" s="4" t="n">
        <v>1.55</v>
      </c>
      <c r="B10" s="6" t="n">
        <v>0.4254052938799134</v>
      </c>
      <c r="C10" s="6" t="n">
        <v>0.4493123051988074</v>
      </c>
      <c r="D10" s="6" t="n">
        <v>0.08419063524184134</v>
      </c>
      <c r="E10" s="6" t="n">
        <v>0.04109176567944298</v>
      </c>
      <c r="F10" s="6" t="n">
        <v>0.03847148082686728</v>
      </c>
      <c r="G10" s="6" t="n">
        <v>0.002620284852575705</v>
      </c>
      <c r="H10" s="6" t="n">
        <v>0.1402645134132884</v>
      </c>
      <c r="I10" s="6" t="n">
        <v>0.8261753704951763</v>
      </c>
      <c r="J10" s="6">
        <f>B10+C10+D10+E10</f>
        <v/>
      </c>
    </row>
    <row r="11">
      <c r="A11" s="4" t="n">
        <v>1.6</v>
      </c>
      <c r="B11" s="6" t="n">
        <v>0.5426338462761358</v>
      </c>
      <c r="C11" s="6" t="n">
        <v>0.315940280203726</v>
      </c>
      <c r="D11" s="6" t="n">
        <v>0.08439485272290392</v>
      </c>
      <c r="E11" s="6" t="n">
        <v>0.05703102079723674</v>
      </c>
      <c r="F11" s="6" t="n">
        <v>0.05008993128154125</v>
      </c>
      <c r="G11" s="6" t="n">
        <v>0.006941089515695486</v>
      </c>
      <c r="H11" s="6" t="n">
        <v>0.1446627347371449</v>
      </c>
      <c r="I11" s="6" t="n">
        <v>0.8216966690879924</v>
      </c>
      <c r="J11" s="6">
        <f>B11+C11+D11+E11</f>
        <v/>
      </c>
    </row>
    <row r="12">
      <c r="A12" s="4" t="n">
        <v>1.65</v>
      </c>
      <c r="B12" s="6" t="n">
        <v>0.5953914122155134</v>
      </c>
      <c r="C12" s="6" t="n">
        <v>0.2700978650532886</v>
      </c>
      <c r="D12" s="6" t="n">
        <v>0.08444523613818736</v>
      </c>
      <c r="E12" s="6" t="n">
        <v>0.05006548659301378</v>
      </c>
      <c r="F12" s="6" t="n">
        <v>0.04496373460357959</v>
      </c>
      <c r="G12" s="6" t="n">
        <v>0.00510175198943419</v>
      </c>
      <c r="H12" s="6" t="n">
        <v>0.1419769693230359</v>
      </c>
      <c r="I12" s="6" t="n">
        <v>0.8244257878202804</v>
      </c>
      <c r="J12" s="6">
        <f>B12+C12+D12+E12</f>
        <v/>
      </c>
    </row>
    <row r="13">
      <c r="A13" s="4" t="n">
        <v>1.7</v>
      </c>
      <c r="B13" s="6" t="n">
        <v>0.6463252042063352</v>
      </c>
      <c r="C13" s="6" t="n">
        <v>0.2177994534013124</v>
      </c>
      <c r="D13" s="6" t="n">
        <v>0.08463006631155388</v>
      </c>
      <c r="E13" s="6" t="n">
        <v>0.05124527608079703</v>
      </c>
      <c r="F13" s="6" t="n">
        <v>0.04612469553203106</v>
      </c>
      <c r="G13" s="6" t="n">
        <v>0.005120580548765971</v>
      </c>
      <c r="H13" s="6" t="n">
        <v>0.1403940097162457</v>
      </c>
      <c r="I13" s="6" t="n">
        <v>0.826042807158609</v>
      </c>
      <c r="J13" s="6">
        <f>B13+C13+D13+E13</f>
        <v/>
      </c>
    </row>
    <row r="14">
      <c r="A14" s="4" t="n">
        <v>1.75</v>
      </c>
      <c r="B14" s="6" t="n">
        <v>0.7272278417955491</v>
      </c>
      <c r="C14" s="6" t="n">
        <v>0.1303717636107894</v>
      </c>
      <c r="D14" s="6" t="n">
        <v>0.08501650441312299</v>
      </c>
      <c r="E14" s="6" t="n">
        <v>0.05738389018054128</v>
      </c>
      <c r="F14" s="6" t="n">
        <v>0.05137138238673982</v>
      </c>
      <c r="G14" s="6" t="n">
        <v>0.00601250779380146</v>
      </c>
      <c r="H14" s="6" t="n">
        <v>0.1448159499572754</v>
      </c>
      <c r="I14" s="6" t="n">
        <v>0.8215415253628456</v>
      </c>
      <c r="J14" s="6">
        <f>B14+C14+D14+E14</f>
        <v/>
      </c>
    </row>
    <row r="15">
      <c r="A15" s="4" t="n">
        <v>1.8</v>
      </c>
      <c r="B15" s="6" t="n">
        <v>0.8417932956443259</v>
      </c>
      <c r="C15" s="6" t="n">
        <v>0</v>
      </c>
      <c r="D15" s="6" t="n">
        <v>0.08661956947989839</v>
      </c>
      <c r="E15" s="6" t="n">
        <v>0.07158713487577675</v>
      </c>
      <c r="F15" s="6" t="n">
        <v>0.06382390364646624</v>
      </c>
      <c r="G15" s="6" t="n">
        <v>0.007763231229310507</v>
      </c>
      <c r="H15" s="6" t="n">
        <v>0.149691844732431</v>
      </c>
      <c r="I15" s="6" t="n">
        <v>0.8166346738078532</v>
      </c>
      <c r="J15" s="6">
        <f>B15+C15+D15+E15</f>
        <v/>
      </c>
    </row>
    <row r="16">
      <c r="A16" s="4" t="n">
        <v>1.85</v>
      </c>
      <c r="B16" s="6" t="n">
        <v>0.8446524578282923</v>
      </c>
      <c r="C16" s="6" t="n">
        <v>0</v>
      </c>
      <c r="D16" s="6" t="n">
        <v>0.05958384481442479</v>
      </c>
      <c r="E16" s="6" t="n">
        <v>0.09576369735728378</v>
      </c>
      <c r="F16" s="6" t="n">
        <v>0.0888010458774157</v>
      </c>
      <c r="G16" s="6" t="n">
        <v>0.00696265147986808</v>
      </c>
      <c r="H16" s="6" t="n">
        <v>0.1458192855974815</v>
      </c>
      <c r="I16" s="6" t="n">
        <v>0.8205270070317794</v>
      </c>
      <c r="J16" s="6">
        <f>B16+C16+D16+E16</f>
        <v/>
      </c>
    </row>
    <row r="17">
      <c r="A17" s="4" t="n">
        <v>1.9</v>
      </c>
      <c r="B17" s="6" t="n">
        <v>0.8496464096317363</v>
      </c>
      <c r="C17" s="6" t="n">
        <v>0</v>
      </c>
      <c r="D17" s="6" t="n">
        <v>0.008136927146930865</v>
      </c>
      <c r="E17" s="6" t="n">
        <v>0.1422166632213345</v>
      </c>
      <c r="F17" s="6" t="n">
        <v>0.1349450755989534</v>
      </c>
      <c r="G17" s="6" t="n">
        <v>0.007271587622381122</v>
      </c>
      <c r="H17" s="6" t="n">
        <v>0.1429699104615599</v>
      </c>
      <c r="I17" s="6" t="n">
        <v>0.8234147091418809</v>
      </c>
      <c r="J17" s="6">
        <f>B17+C17+D17+E17</f>
        <v/>
      </c>
    </row>
    <row r="18">
      <c r="A18" s="4" t="n">
        <v>1.95</v>
      </c>
      <c r="B18" s="6" t="n">
        <v>0.8509849593837161</v>
      </c>
      <c r="C18" s="6" t="n">
        <v>0</v>
      </c>
      <c r="D18" s="6" t="n">
        <v>0.002076403566429343</v>
      </c>
      <c r="E18" s="6" t="n">
        <v>0.146938637049857</v>
      </c>
      <c r="F18" s="6" t="n">
        <v>0.1397759348993622</v>
      </c>
      <c r="G18" s="6" t="n">
        <v>0.007162702150494852</v>
      </c>
      <c r="H18" s="6" t="n">
        <v>0.135962854140796</v>
      </c>
      <c r="I18" s="6" t="n">
        <v>0.8306032227620853</v>
      </c>
      <c r="J18" s="6">
        <f>B18+C18+D18+E18</f>
        <v/>
      </c>
    </row>
    <row r="19">
      <c r="A19" s="4" t="n">
        <v>2</v>
      </c>
      <c r="B19" s="6" t="n">
        <v>0.8511194700177727</v>
      </c>
      <c r="C19" s="6" t="n">
        <v>0</v>
      </c>
      <c r="D19" s="6" t="n">
        <v>0.0008514810023383668</v>
      </c>
      <c r="E19" s="6" t="n">
        <v>0.14802904897989</v>
      </c>
      <c r="F19" s="6" t="n">
        <v>0.1410760225217151</v>
      </c>
      <c r="G19" s="6" t="n">
        <v>0.006953026458174911</v>
      </c>
      <c r="H19" s="6" t="n">
        <v>0.1291310523745816</v>
      </c>
      <c r="I19" s="6" t="n">
        <v>0.8377338244571063</v>
      </c>
      <c r="J19" s="6">
        <f>B19+C19+D19+E19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7" customWidth="1" min="3" max="3"/>
    <col width="17" customWidth="1" min="4" max="4"/>
    <col width="17" customWidth="1" min="5" max="5"/>
    <col width="22" customWidth="1" min="6" max="6"/>
    <col width="22" customWidth="1" min="7" max="7"/>
    <col width="17" customWidth="1" min="8" max="8"/>
    <col width="17" customWidth="1" min="9" max="9"/>
    <col width="17" customWidth="1" min="10" max="10"/>
  </cols>
  <sheetData>
    <row r="1">
      <c r="A1" s="2" t="inlineStr">
        <is>
          <t>Five-channel power budget, Ag reflector — as dr4f.m returns it</t>
        </is>
      </c>
    </row>
    <row r="2">
      <c r="A2" t="inlineStr">
        <is>
          <t>Columns B to E sum to 1 at PLQY = 1 (column J is the check).  F and G split the absorbed fraction by layer.</t>
        </is>
      </c>
    </row>
    <row r="4">
      <c r="A4" s="2" t="inlineStr">
        <is>
          <t>n_sub</t>
        </is>
      </c>
      <c r="B4" s="2" t="inlineStr">
        <is>
          <t>eta_sub</t>
        </is>
      </c>
      <c r="C4" s="2" t="inlineStr">
        <is>
          <t>waveguided</t>
        </is>
      </c>
      <c r="D4" s="2" t="inlineStr">
        <is>
          <t>SPP</t>
        </is>
      </c>
      <c r="E4" s="2" t="inlineStr">
        <is>
          <t>absorbed (total)</t>
        </is>
      </c>
      <c r="F4" s="2" t="inlineStr">
        <is>
          <t xml:space="preserve">  in the reflector</t>
        </is>
      </c>
      <c r="G4" s="2" t="inlineStr">
        <is>
          <t xml:space="preserve">  in the TCO / organics</t>
        </is>
      </c>
      <c r="H4" s="2" t="inlineStr">
        <is>
          <t>A' (round trip)</t>
        </is>
      </c>
      <c r="I4" s="2" t="inlineStr">
        <is>
          <t>eta_ext at p = 0.4</t>
        </is>
      </c>
      <c r="J4" s="2" t="inlineStr">
        <is>
          <t>sum check</t>
        </is>
      </c>
    </row>
    <row r="5">
      <c r="A5" s="4" t="n">
        <v>1.3</v>
      </c>
      <c r="B5" s="6" t="n">
        <v>0.3102576096370601</v>
      </c>
      <c r="C5" s="6" t="n">
        <v>0.6580385864976068</v>
      </c>
      <c r="D5" s="6" t="n">
        <v>0.02759856321485092</v>
      </c>
      <c r="E5" s="6" t="n">
        <v>0.004105240650476019</v>
      </c>
      <c r="F5" s="6" t="n">
        <v>0.00236684983219697</v>
      </c>
      <c r="G5" s="6" t="n">
        <v>0.001738390818279048</v>
      </c>
      <c r="H5" s="6" t="n">
        <v>0.02467922944151324</v>
      </c>
      <c r="I5" s="6" t="n">
        <v>0.9643026311713991</v>
      </c>
      <c r="J5" s="6">
        <f>B5+C5+D5+E5</f>
        <v/>
      </c>
    </row>
    <row r="6">
      <c r="A6" s="4" t="n">
        <v>1.35</v>
      </c>
      <c r="B6" s="6" t="n">
        <v>0.3232301328544434</v>
      </c>
      <c r="C6" s="6" t="n">
        <v>0.6452699133067714</v>
      </c>
      <c r="D6" s="6" t="n">
        <v>0.02720357897294941</v>
      </c>
      <c r="E6" s="6" t="n">
        <v>0.004296374865832865</v>
      </c>
      <c r="F6" s="6" t="n">
        <v>0.002573658095399578</v>
      </c>
      <c r="G6" s="6" t="n">
        <v>0.001722716770433286</v>
      </c>
      <c r="H6" s="6" t="n">
        <v>0.02423035724052003</v>
      </c>
      <c r="I6" s="6" t="n">
        <v>0.9649291335726248</v>
      </c>
      <c r="J6" s="6">
        <f>B6+C6+D6+E6</f>
        <v/>
      </c>
    </row>
    <row r="7">
      <c r="A7" s="4" t="n">
        <v>1.4</v>
      </c>
      <c r="B7" s="6" t="n">
        <v>0.3493549601261782</v>
      </c>
      <c r="C7" s="6" t="n">
        <v>0.6184807287029964</v>
      </c>
      <c r="D7" s="6" t="n">
        <v>0.02735037522123212</v>
      </c>
      <c r="E7" s="6" t="n">
        <v>0.00481393594959295</v>
      </c>
      <c r="F7" s="6" t="n">
        <v>0.002978057417042646</v>
      </c>
      <c r="G7" s="6" t="n">
        <v>0.001835878532550305</v>
      </c>
      <c r="H7" s="6" t="n">
        <v>0.0242200900544588</v>
      </c>
      <c r="I7" s="6" t="n">
        <v>0.9649434732699108</v>
      </c>
      <c r="J7" s="6">
        <f>B7+C7+D7+E7</f>
        <v/>
      </c>
    </row>
    <row r="8">
      <c r="A8" s="4" t="n">
        <v>1.45</v>
      </c>
      <c r="B8" s="6" t="n">
        <v>0.393044740502608</v>
      </c>
      <c r="C8" s="6" t="n">
        <v>0.5735486783749905</v>
      </c>
      <c r="D8" s="6" t="n">
        <v>0.02734640756801534</v>
      </c>
      <c r="E8" s="6" t="n">
        <v>0.006060173554384184</v>
      </c>
      <c r="F8" s="6" t="n">
        <v>0.003842185065028818</v>
      </c>
      <c r="G8" s="6" t="n">
        <v>0.002217988489355365</v>
      </c>
      <c r="H8" s="6" t="n">
        <v>0.02525198681334395</v>
      </c>
      <c r="I8" s="6" t="n">
        <v>0.9635043994169852</v>
      </c>
      <c r="J8" s="6">
        <f>B8+C8+D8+E8</f>
        <v/>
      </c>
    </row>
    <row r="9">
      <c r="A9" s="4" t="n">
        <v>1.5</v>
      </c>
      <c r="B9" s="6" t="n">
        <v>0.4648878933082227</v>
      </c>
      <c r="C9" s="6" t="n">
        <v>0.4995259285180944</v>
      </c>
      <c r="D9" s="6" t="n">
        <v>0.02701467056776351</v>
      </c>
      <c r="E9" s="6" t="n">
        <v>0.008571507605919897</v>
      </c>
      <c r="F9" s="6" t="n">
        <v>0.005444888343472837</v>
      </c>
      <c r="G9" s="6" t="n">
        <v>0.003126619262447059</v>
      </c>
      <c r="H9" s="6" t="n">
        <v>0.02761053763287613</v>
      </c>
      <c r="I9" s="6" t="n">
        <v>0.9602312484669111</v>
      </c>
      <c r="J9" s="6">
        <f>B9+C9+D9+E9</f>
        <v/>
      </c>
    </row>
    <row r="10">
      <c r="A10" s="4" t="n">
        <v>1.55</v>
      </c>
      <c r="B10" s="6" t="n">
        <v>0.4965449423869523</v>
      </c>
      <c r="C10" s="6" t="n">
        <v>0.4679035692882099</v>
      </c>
      <c r="D10" s="6" t="n">
        <v>0.02737023414436076</v>
      </c>
      <c r="E10" s="6" t="n">
        <v>0.008181254180475602</v>
      </c>
      <c r="F10" s="6" t="n">
        <v>0.005113058478493612</v>
      </c>
      <c r="G10" s="6" t="n">
        <v>0.00306819570198199</v>
      </c>
      <c r="H10" s="6" t="n">
        <v>0.02700309134341428</v>
      </c>
      <c r="I10" s="6" t="n">
        <v>0.9610721225315089</v>
      </c>
      <c r="J10" s="6">
        <f>B10+C10+D10+E10</f>
        <v/>
      </c>
    </row>
    <row r="11">
      <c r="A11" s="4" t="n">
        <v>1.6</v>
      </c>
      <c r="B11" s="6" t="n">
        <v>0.5961745973282631</v>
      </c>
      <c r="C11" s="6" t="n">
        <v>0.3636521155259948</v>
      </c>
      <c r="D11" s="6" t="n">
        <v>0.02791839864363277</v>
      </c>
      <c r="E11" s="6" t="n">
        <v>0.01225488850210913</v>
      </c>
      <c r="F11" s="6" t="n">
        <v>0.006135649123794648</v>
      </c>
      <c r="G11" s="6" t="n">
        <v>0.006119239378314478</v>
      </c>
      <c r="H11" s="6" t="n">
        <v>0.02862634701144451</v>
      </c>
      <c r="I11" s="6" t="n">
        <v>0.9588283695531318</v>
      </c>
      <c r="J11" s="6">
        <f>B11+C11+D11+E11</f>
        <v/>
      </c>
    </row>
    <row r="12">
      <c r="A12" s="4" t="n">
        <v>1.65</v>
      </c>
      <c r="B12" s="6" t="n">
        <v>0.6700142925330348</v>
      </c>
      <c r="C12" s="6" t="n">
        <v>0.2911237550152911</v>
      </c>
      <c r="D12" s="6" t="n">
        <v>0.027563911786152</v>
      </c>
      <c r="E12" s="6" t="n">
        <v>0.01129804066551866</v>
      </c>
      <c r="F12" s="6" t="n">
        <v>0.005668445892139809</v>
      </c>
      <c r="G12" s="6" t="n">
        <v>0.005629594773378847</v>
      </c>
      <c r="H12" s="6" t="n">
        <v>0.02848420353442793</v>
      </c>
      <c r="I12" s="6" t="n">
        <v>0.9590244294361769</v>
      </c>
      <c r="J12" s="6">
        <f>B12+C12+D12+E12</f>
        <v/>
      </c>
    </row>
    <row r="13">
      <c r="A13" s="4" t="n">
        <v>1.7</v>
      </c>
      <c r="B13" s="6" t="n">
        <v>0.7152268381342591</v>
      </c>
      <c r="C13" s="6" t="n">
        <v>0.2465215852498305</v>
      </c>
      <c r="D13" s="6" t="n">
        <v>0.02715586020543369</v>
      </c>
      <c r="E13" s="6" t="n">
        <v>0.0110957164104803</v>
      </c>
      <c r="F13" s="6" t="n">
        <v>0.005556270213726216</v>
      </c>
      <c r="G13" s="6" t="n">
        <v>0.005539446196754089</v>
      </c>
      <c r="H13" s="6" t="n">
        <v>0.02726715260983725</v>
      </c>
      <c r="I13" s="6" t="n">
        <v>0.9607064076538797</v>
      </c>
      <c r="J13" s="6">
        <f>B13+C13+D13+E13</f>
        <v/>
      </c>
    </row>
    <row r="14">
      <c r="A14" s="4" t="n">
        <v>1.75</v>
      </c>
      <c r="B14" s="6" t="n">
        <v>0.8091242106824427</v>
      </c>
      <c r="C14" s="6" t="n">
        <v>0.1512402417797345</v>
      </c>
      <c r="D14" s="6" t="n">
        <v>0.02718971949528728</v>
      </c>
      <c r="E14" s="6" t="n">
        <v>0.01244582804253206</v>
      </c>
      <c r="F14" s="6" t="n">
        <v>0.005868638878799601</v>
      </c>
      <c r="G14" s="6" t="n">
        <v>0.006577189163732457</v>
      </c>
      <c r="H14" s="6" t="n">
        <v>0.02714463189577498</v>
      </c>
      <c r="I14" s="6" t="n">
        <v>0.9608760595971585</v>
      </c>
      <c r="J14" s="6">
        <f>B14+C14+D14+E14</f>
        <v/>
      </c>
    </row>
    <row r="15">
      <c r="A15" s="4" t="n">
        <v>1.8</v>
      </c>
      <c r="B15" s="6" t="n">
        <v>0.9564053370395643</v>
      </c>
      <c r="C15" s="6" t="n">
        <v>0</v>
      </c>
      <c r="D15" s="6" t="n">
        <v>0.02784576845559609</v>
      </c>
      <c r="E15" s="6" t="n">
        <v>0.01574889450483933</v>
      </c>
      <c r="F15" s="6" t="n">
        <v>0.006804316135852907</v>
      </c>
      <c r="G15" s="6" t="n">
        <v>0.008944578368986421</v>
      </c>
      <c r="H15" s="6" t="n">
        <v>0.03101144029276803</v>
      </c>
      <c r="I15" s="6" t="n">
        <v>0.9555505039022657</v>
      </c>
      <c r="J15" s="6">
        <f>B15+C15+D15+E15</f>
        <v/>
      </c>
    </row>
    <row r="16">
      <c r="A16" s="4" t="n">
        <v>1.85</v>
      </c>
      <c r="B16" s="6" t="n">
        <v>0.9581165835015284</v>
      </c>
      <c r="C16" s="6" t="n">
        <v>0</v>
      </c>
      <c r="D16" s="6" t="n">
        <v>0.02662281634464115</v>
      </c>
      <c r="E16" s="6" t="n">
        <v>0.01526060015382982</v>
      </c>
      <c r="F16" s="6" t="n">
        <v>0.007273978824189831</v>
      </c>
      <c r="G16" s="6" t="n">
        <v>0.007986621329639993</v>
      </c>
      <c r="H16" s="6" t="n">
        <v>0.02980749399405036</v>
      </c>
      <c r="I16" s="6" t="n">
        <v>0.9572022974035775</v>
      </c>
      <c r="J16" s="6">
        <f>B16+C16+D16+E16</f>
        <v/>
      </c>
    </row>
    <row r="17">
      <c r="A17" s="4" t="n">
        <v>1.9</v>
      </c>
      <c r="B17" s="6" t="n">
        <v>0.9585272683290416</v>
      </c>
      <c r="C17" s="6" t="n">
        <v>0</v>
      </c>
      <c r="D17" s="6" t="n">
        <v>0.02611696197604132</v>
      </c>
      <c r="E17" s="6" t="n">
        <v>0.01535576969491302</v>
      </c>
      <c r="F17" s="6" t="n">
        <v>0.007733074680361618</v>
      </c>
      <c r="G17" s="6" t="n">
        <v>0.0076226950145514</v>
      </c>
      <c r="H17" s="6" t="n">
        <v>0.02857666161312056</v>
      </c>
      <c r="I17" s="6" t="n">
        <v>0.9588968919934454</v>
      </c>
      <c r="J17" s="6">
        <f>B17+C17+D17+E17</f>
        <v/>
      </c>
    </row>
    <row r="18">
      <c r="A18" s="4" t="n">
        <v>1.95</v>
      </c>
      <c r="B18" s="6" t="n">
        <v>0.9588130841108791</v>
      </c>
      <c r="C18" s="6" t="n">
        <v>0</v>
      </c>
      <c r="D18" s="6" t="n">
        <v>0.02555196886512523</v>
      </c>
      <c r="E18" s="6" t="n">
        <v>0.0156349470239949</v>
      </c>
      <c r="F18" s="6" t="n">
        <v>0.008310248148102287</v>
      </c>
      <c r="G18" s="6" t="n">
        <v>0.007324698875892613</v>
      </c>
      <c r="H18" s="6" t="n">
        <v>0.02741875995814513</v>
      </c>
      <c r="I18" s="6" t="n">
        <v>0.9604965629497847</v>
      </c>
      <c r="J18" s="6">
        <f>B18+C18+D18+E18</f>
        <v/>
      </c>
    </row>
    <row r="19">
      <c r="A19" s="4" t="n">
        <v>2</v>
      </c>
      <c r="B19" s="6" t="n">
        <v>0.9590369961667355</v>
      </c>
      <c r="C19" s="6" t="n">
        <v>0</v>
      </c>
      <c r="D19" s="6" t="n">
        <v>0.02439478667026792</v>
      </c>
      <c r="E19" s="6" t="n">
        <v>0.01656821716299562</v>
      </c>
      <c r="F19" s="6" t="n">
        <v>0.009494633781076178</v>
      </c>
      <c r="G19" s="6" t="n">
        <v>0.007073583381919443</v>
      </c>
      <c r="H19" s="6" t="n">
        <v>0.02633755973635477</v>
      </c>
      <c r="I19" s="6" t="n">
        <v>0.9619950950760321</v>
      </c>
      <c r="J19" s="6">
        <f>B19+C19+D19+E19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2026-09-20T13:45:04Z</dcterms:created>
  <dcterms:modified xmlns:dcterms="http://purl.org/dc/terms/" xmlns:xsi="http://www.w3.org/2001/XMLSchema-instance" xsi:type="dcterms:W3CDTF">2026-09-20T13:45:04Z</dcterms:modified>
</cp:coreProperties>
</file>