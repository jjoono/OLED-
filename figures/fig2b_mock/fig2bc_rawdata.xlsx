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b_2c" sheetId="2" state="visible" r:id="rId2"/>
    <sheet xmlns:r="http://schemas.openxmlformats.org/officeDocument/2006/relationships" name="Al_modes" sheetId="3" state="visible" r:id="rId3"/>
    <sheet xmlns:r="http://schemas.openxmlformats.org/officeDocument/2006/relationships" name="Ag_mo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2" fontId="0" fillId="0" borderId="0" pivotButton="0" quotePrefix="0" xfId="0"/>
    <xf numFmtId="164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Fig. 2(b) and 2(c) — substrate / outcoupling-structure index sweep</t>
        </is>
      </c>
    </row>
    <row r="2">
      <c r="A2" s="2" t="inlineStr">
        <is>
          <t>Raw data for the two square panels: (b) p and eta_ext, (c) eta_sub and EQE, each for an Al and an Ag reflector</t>
        </is>
      </c>
    </row>
    <row r="4">
      <c r="A4" s="2" t="inlineStr">
        <is>
          <t>Panels</t>
        </is>
      </c>
    </row>
    <row r="5">
      <c r="A5" s="2" t="inlineStr">
        <is>
          <t>(b)</t>
        </is>
      </c>
      <c r="B5" s="3" t="inlineStr">
        <is>
          <t>eta_ext against n_sub for both reflectors, with the single-pass escape probability p on the same axes</t>
        </is>
      </c>
    </row>
    <row r="6">
      <c r="A6" s="2" t="inlineStr">
        <is>
          <t>(c)</t>
        </is>
      </c>
      <c r="B6" s="3" t="inlineStr">
        <is>
          <t>eta_sub (dashed) and EQE = eta_sub x eta_ext (solid) against n_sub for both reflectors</t>
        </is>
      </c>
    </row>
    <row r="8">
      <c r="A8" s="2" t="inlineStr">
        <is>
          <t>Stack</t>
        </is>
      </c>
    </row>
    <row r="9">
      <c r="A9" s="2" t="inlineStr">
        <is>
          <t>Common part</t>
        </is>
      </c>
      <c r="B9" s="3" t="inlineStr">
        <is>
          <t>reflector 100 nm / ETL 200 nm / EML 20 nm (isotropic dipole at the centre) / HTL 200 nm / ITO 50 nm / substrate</t>
        </is>
      </c>
    </row>
    <row r="10">
      <c r="A10" s="2" t="inlineStr">
        <is>
          <t>Reflector</t>
        </is>
      </c>
      <c r="B10" s="3" t="inlineStr">
        <is>
          <t>Al: Johnson-Christy-type n,k from the project library (0.958 + 6.687i at 550 nm).  Ag: McPeak measured n,k (0.044 + 3.819i)</t>
        </is>
      </c>
    </row>
    <row r="11">
      <c r="A11" s="2" t="inlineStr">
        <is>
          <t>ITO</t>
        </is>
      </c>
      <c r="B11" s="3" t="inlineStr">
        <is>
          <t>n = 1.9 + 0.02i, fixed at 50 nm</t>
        </is>
      </c>
    </row>
    <row r="12">
      <c r="A12" s="2" t="inlineStr">
        <is>
          <t>Organics</t>
        </is>
      </c>
      <c r="B12" s="3" t="inlineStr">
        <is>
          <t>EML, HTL and ETL isotropic n = 1.8, k = 0</t>
        </is>
      </c>
    </row>
    <row r="13">
      <c r="A13" s="2" t="inlineStr">
        <is>
          <t>Substrate</t>
        </is>
      </c>
      <c r="B13" s="3" t="inlineStr">
        <is>
          <t>index swept 1.30 to 2.00 in 0.05 steps, index-matched to the outcoupling structure</t>
        </is>
      </c>
    </row>
    <row r="14">
      <c r="A14" s="2" t="inlineStr">
        <is>
          <t>Wavelength</t>
        </is>
      </c>
      <c r="B14" s="3" t="inlineStr">
        <is>
          <t>550 nm, single wavelength, PLQY = 1, u grid 3000 points</t>
        </is>
      </c>
    </row>
    <row r="16">
      <c r="A16" s="2" t="inlineStr">
        <is>
          <t>Quantities</t>
        </is>
      </c>
    </row>
    <row r="17">
      <c r="A17" s="2" t="inlineStr">
        <is>
          <t>eta_sub</t>
        </is>
      </c>
      <c r="B17" s="3" t="inlineStr">
        <is>
          <t>substrate-delivered power from the five-channel budget: 1 minus waveguided, SPP and absorbed fractions</t>
        </is>
      </c>
    </row>
    <row r="18">
      <c r="A18" s="2" t="inlineStr">
        <is>
          <t>A'</t>
        </is>
      </c>
      <c r="B18" s="3" t="inlineStr">
        <is>
          <t>round-trip loss = 1 minus the reflectance of the OLED stack seen from the substrate, flux-weighted over substrate angles and averaged over p and s</t>
        </is>
      </c>
    </row>
    <row r="19">
      <c r="A19" s="2" t="inlineStr">
        <is>
          <t>p</t>
        </is>
      </c>
      <c r="B19" s="3" t="inlineStr">
        <is>
          <t>single-pass escape probability of the outcoupling structure, from the ray trace.  EDITABLE — column B of sheet fig2b_2c drives every eta_ext and EQE formula</t>
        </is>
      </c>
    </row>
    <row r="20">
      <c r="A20" s="2" t="inlineStr">
        <is>
          <t>eta_ext</t>
        </is>
      </c>
      <c r="B20" s="3" t="inlineStr">
        <is>
          <t>p / [p + (1-p) A'].  FORMULA</t>
        </is>
      </c>
    </row>
    <row r="21">
      <c r="A21" s="2" t="inlineStr">
        <is>
          <t>EQE</t>
        </is>
      </c>
      <c r="B21" s="3" t="inlineStr">
        <is>
          <t>eta_sub x eta_ext.  FORMULA</t>
        </is>
      </c>
    </row>
    <row r="22">
      <c r="A22" s="2" t="inlineStr">
        <is>
          <t>p (flat interface)</t>
        </is>
      </c>
      <c r="B22" s="3" t="inlineStr">
        <is>
          <t>reference column only, not used by any formula: the escape probability of a flat substrate/air interface for angularly randomised light, mean Fresnel transmittance over the escape cone divided by n_sub^2 (Yablonovitch 1982, one-sided)</t>
        </is>
      </c>
    </row>
    <row r="24">
      <c r="A24" s="2" t="inlineStr">
        <is>
          <t>Sheets</t>
        </is>
      </c>
    </row>
    <row r="25">
      <c r="A25" s="2" t="inlineStr">
        <is>
          <t>fig2b_2c</t>
        </is>
      </c>
      <c r="B25" s="3" t="inlineStr">
        <is>
          <t>the plotted curves, with eta_ext and EQE as formulas</t>
        </is>
      </c>
    </row>
    <row r="26">
      <c r="A26" s="2" t="inlineStr">
        <is>
          <t>Al_modes</t>
        </is>
      </c>
      <c r="B26" s="3" t="inlineStr">
        <is>
          <t>the full five-channel power budget for the Al reflector, as the model returns it</t>
        </is>
      </c>
    </row>
    <row r="27">
      <c r="A27" s="2" t="inlineStr">
        <is>
          <t>Ag_modes</t>
        </is>
      </c>
      <c r="B27" s="3" t="inlineStr">
        <is>
          <t>the same for the Ag reflector</t>
        </is>
      </c>
    </row>
    <row r="29">
      <c r="A29" s="2" t="inlineStr">
        <is>
          <t>Provenance</t>
        </is>
      </c>
    </row>
    <row r="30">
      <c r="A30" s="2" t="inlineStr">
        <is>
          <t>Script</t>
        </is>
      </c>
      <c r="B30" s="3" t="inlineStr">
        <is>
          <t>sim/design_rule4/dr4f.m (Octave), MODE=nsub, run with UNUM=3000 and TOPMAT=al / ag</t>
        </is>
      </c>
    </row>
    <row r="31">
      <c r="A31" s="2" t="inlineStr">
        <is>
          <t>Source files</t>
        </is>
      </c>
      <c r="B31" s="3" t="inlineStr">
        <is>
          <t>nsub_al.csv and nsub_ag.csv (model output), fig2b_curves.csv (the assembled curves)</t>
        </is>
      </c>
    </row>
    <row r="32">
      <c r="A32" s="2" t="inlineStr">
        <is>
          <t>p</t>
        </is>
      </c>
      <c r="B32" s="3" t="inlineStr">
        <is>
          <t>interpolated from the author's single-pass escape-probability curve: 0.665 / 0.470 / 0.380 / 0.355 / 0.335 / 0.305 / 0.275 / 0.248 at n_sub = 1.30 / 1.40 / 1.50 / 1.60 / 1.70 / 1.80 / 1.90 / 2.00</t>
        </is>
      </c>
    </row>
    <row r="33">
      <c r="A33" s="2" t="inlineStr">
        <is>
          <t>Caution</t>
        </is>
      </c>
      <c r="B33" s="3" t="inlineStr">
        <is>
          <t>column 9 of nsub_al.csv and nsub_ag.csv is eta_ext at the script's default p = 0.4 and is NOT the plotted curve; the workbook recomputes eta_ext from the p column</t>
        </is>
      </c>
    </row>
    <row r="34">
      <c r="A34" s="2" t="inlineStr">
        <is>
          <t>Repository</t>
        </is>
      </c>
      <c r="B34" s="3" t="inlineStr">
        <is>
          <t>jjoono/OLED-, branch claude/oled-efficiency-paper-ag-955zsk, figures/fig2b_mock/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21" customWidth="1" min="12" max="12"/>
  </cols>
  <sheetData>
    <row r="1">
      <c r="A1" s="2" t="inlineStr">
        <is>
          <t>The curves as plotted in fig2bc_squares.png</t>
        </is>
      </c>
    </row>
    <row r="2">
      <c r="A2" t="inlineStr">
        <is>
          <t>eta_ext = p/[p+(1-p)A'] and EQE = eta_sub x eta_ext are formulas; edit column B (yellow) to redraw with a different p</t>
        </is>
      </c>
    </row>
    <row r="4">
      <c r="A4" s="2" t="inlineStr">
        <is>
          <t>n_sub</t>
        </is>
      </c>
      <c r="B4" s="2" t="inlineStr">
        <is>
          <t>p</t>
        </is>
      </c>
      <c r="C4" s="2" t="inlineStr">
        <is>
          <t>eta_sub (Al)</t>
        </is>
      </c>
      <c r="D4" s="2" t="inlineStr">
        <is>
          <t>A' (Al)</t>
        </is>
      </c>
      <c r="E4" s="2" t="inlineStr">
        <is>
          <t>eta_ext (Al)</t>
        </is>
      </c>
      <c r="F4" s="2" t="inlineStr">
        <is>
          <t>EQE (Al)</t>
        </is>
      </c>
      <c r="G4" s="2" t="inlineStr">
        <is>
          <t>eta_sub (Ag)</t>
        </is>
      </c>
      <c r="H4" s="2" t="inlineStr">
        <is>
          <t>A' (Ag)</t>
        </is>
      </c>
      <c r="I4" s="2" t="inlineStr">
        <is>
          <t>eta_ext (Ag)</t>
        </is>
      </c>
      <c r="J4" s="2" t="inlineStr">
        <is>
          <t>EQE (Ag)</t>
        </is>
      </c>
      <c r="K4" s="2" t="inlineStr">
        <is>
          <t>eta_ext gap (Ag - Al)</t>
        </is>
      </c>
      <c r="L4" s="2" t="inlineStr">
        <is>
          <t>p, flat interface (reference)</t>
        </is>
      </c>
    </row>
    <row r="5">
      <c r="A5" s="4" t="n">
        <v>1.3</v>
      </c>
      <c r="B5" s="5" t="n">
        <v>0.665</v>
      </c>
      <c r="C5" s="6" t="n">
        <v>0.2545774488953764</v>
      </c>
      <c r="D5" s="6" t="n">
        <v>0.1659048386562776</v>
      </c>
      <c r="E5" s="6">
        <f>$B5/($B5+(1-$B5)*D5)</f>
        <v/>
      </c>
      <c r="F5" s="6">
        <f>C5*E5</f>
        <v/>
      </c>
      <c r="G5" s="6" t="n">
        <v>0.3024157950855146</v>
      </c>
      <c r="H5" s="6" t="n">
        <v>0.06793277330241843</v>
      </c>
      <c r="I5" s="6">
        <f>$B5/($B5+(1-$B5)*H5)</f>
        <v/>
      </c>
      <c r="J5" s="6">
        <f>G5*I5</f>
        <v/>
      </c>
      <c r="K5" s="6">
        <f>I5-E5</f>
        <v/>
      </c>
      <c r="L5" s="6" t="n">
        <v>0.5555426141807783</v>
      </c>
    </row>
    <row r="6">
      <c r="A6" s="4" t="n">
        <v>1.35</v>
      </c>
      <c r="B6" s="5" t="n">
        <v>0.5674999999999998</v>
      </c>
      <c r="C6" s="6" t="n">
        <v>0.2739293239366931</v>
      </c>
      <c r="D6" s="6" t="n">
        <v>0.1657270360038535</v>
      </c>
      <c r="E6" s="6">
        <f>$B6/($B6+(1-$B6)*D6)</f>
        <v/>
      </c>
      <c r="F6" s="6">
        <f>C6*E6</f>
        <v/>
      </c>
      <c r="G6" s="6" t="n">
        <v>0.318976400432224</v>
      </c>
      <c r="H6" s="6" t="n">
        <v>0.06579309378438669</v>
      </c>
      <c r="I6" s="6">
        <f>$B6/($B6+(1-$B6)*H6)</f>
        <v/>
      </c>
      <c r="J6" s="6">
        <f>G6*I6</f>
        <v/>
      </c>
      <c r="K6" s="6">
        <f>I6-E6</f>
        <v/>
      </c>
      <c r="L6" s="6" t="n">
        <v>0.5107915418560387</v>
      </c>
    </row>
    <row r="7">
      <c r="A7" s="4" t="n">
        <v>1.4</v>
      </c>
      <c r="B7" s="5" t="n">
        <v>0.47</v>
      </c>
      <c r="C7" s="6" t="n">
        <v>0.3037928927091349</v>
      </c>
      <c r="D7" s="6" t="n">
        <v>0.1697294850183797</v>
      </c>
      <c r="E7" s="6">
        <f>$B7/($B7+(1-$B7)*D7)</f>
        <v/>
      </c>
      <c r="F7" s="6">
        <f>C7*E7</f>
        <v/>
      </c>
      <c r="G7" s="6" t="n">
        <v>0.3415836846459211</v>
      </c>
      <c r="H7" s="6" t="n">
        <v>0.06474222095509419</v>
      </c>
      <c r="I7" s="6">
        <f>$B7/($B7+(1-$B7)*H7)</f>
        <v/>
      </c>
      <c r="J7" s="6">
        <f>G7*I7</f>
        <v/>
      </c>
      <c r="K7" s="6">
        <f>I7-E7</f>
        <v/>
      </c>
      <c r="L7" s="6" t="n">
        <v>0.4710139087909155</v>
      </c>
    </row>
    <row r="8">
      <c r="A8" s="4" t="n">
        <v>1.45</v>
      </c>
      <c r="B8" s="5" t="n">
        <v>0.425</v>
      </c>
      <c r="C8" s="6" t="n">
        <v>0.3551349980120916</v>
      </c>
      <c r="D8" s="6" t="n">
        <v>0.1811984239350622</v>
      </c>
      <c r="E8" s="6">
        <f>$B8/($B8+(1-$B8)*D8)</f>
        <v/>
      </c>
      <c r="F8" s="6">
        <f>C8*E8</f>
        <v/>
      </c>
      <c r="G8" s="6" t="n">
        <v>0.3802224941362572</v>
      </c>
      <c r="H8" s="6" t="n">
        <v>0.06627047452721235</v>
      </c>
      <c r="I8" s="6">
        <f>$B8/($B8+(1-$B8)*H8)</f>
        <v/>
      </c>
      <c r="J8" s="6">
        <f>G8*I8</f>
        <v/>
      </c>
      <c r="K8" s="6">
        <f>I8-E8</f>
        <v/>
      </c>
      <c r="L8" s="6" t="n">
        <v>0.4354967086478286</v>
      </c>
    </row>
    <row r="9">
      <c r="A9" s="4" t="n">
        <v>1.5</v>
      </c>
      <c r="B9" s="5" t="n">
        <v>0.38</v>
      </c>
      <c r="C9" s="6" t="n">
        <v>0.3844789689500101</v>
      </c>
      <c r="D9" s="6" t="n">
        <v>0.1810440950425944</v>
      </c>
      <c r="E9" s="6">
        <f>$B9/($B9+(1-$B9)*D9)</f>
        <v/>
      </c>
      <c r="F9" s="6">
        <f>C9*E9</f>
        <v/>
      </c>
      <c r="G9" s="6" t="n">
        <v>0.4548819218007782</v>
      </c>
      <c r="H9" s="6" t="n">
        <v>0.07248190902324114</v>
      </c>
      <c r="I9" s="6">
        <f>$B9/($B9+(1-$B9)*H9)</f>
        <v/>
      </c>
      <c r="J9" s="6">
        <f>G9*I9</f>
        <v/>
      </c>
      <c r="K9" s="6">
        <f>I9-E9</f>
        <v/>
      </c>
      <c r="L9" s="6" t="n">
        <v>0.4036536942292964</v>
      </c>
    </row>
    <row r="10">
      <c r="A10" s="4" t="n">
        <v>1.55</v>
      </c>
      <c r="B10" s="5" t="n">
        <v>0.3675</v>
      </c>
      <c r="C10" s="6" t="n">
        <v>0.4117535494246413</v>
      </c>
      <c r="D10" s="6" t="n">
        <v>0.179203536958368</v>
      </c>
      <c r="E10" s="6">
        <f>$B10/($B10+(1-$B10)*D10)</f>
        <v/>
      </c>
      <c r="F10" s="6">
        <f>C10*E10</f>
        <v/>
      </c>
      <c r="G10" s="6" t="n">
        <v>0.4831441894132887</v>
      </c>
      <c r="H10" s="6" t="n">
        <v>0.07200156338461183</v>
      </c>
      <c r="I10" s="6">
        <f>$B10/($B10+(1-$B10)*H10)</f>
        <v/>
      </c>
      <c r="J10" s="6">
        <f>G10*I10</f>
        <v/>
      </c>
      <c r="K10" s="6">
        <f>I10-E10</f>
        <v/>
      </c>
      <c r="L10" s="6" t="n">
        <v>0.374998094679025</v>
      </c>
    </row>
    <row r="11">
      <c r="A11" s="4" t="n">
        <v>1.6</v>
      </c>
      <c r="B11" s="5" t="n">
        <v>0.355</v>
      </c>
      <c r="C11" s="6" t="n">
        <v>0.4907922493568424</v>
      </c>
      <c r="D11" s="6" t="n">
        <v>0.1874601489333053</v>
      </c>
      <c r="E11" s="6">
        <f>$B11/($B11+(1-$B11)*D11)</f>
        <v/>
      </c>
      <c r="F11" s="6">
        <f>C11*E11</f>
        <v/>
      </c>
      <c r="G11" s="6" t="n">
        <v>0.5426903154356646</v>
      </c>
      <c r="H11" s="6" t="n">
        <v>0.07741128204254277</v>
      </c>
      <c r="I11" s="6">
        <f>$B11/($B11+(1-$B11)*H11)</f>
        <v/>
      </c>
      <c r="J11" s="6">
        <f>G11*I11</f>
        <v/>
      </c>
      <c r="K11" s="6">
        <f>I11-E11</f>
        <v/>
      </c>
      <c r="L11" s="6" t="n">
        <v>0.3491223309818853</v>
      </c>
    </row>
    <row r="12">
      <c r="A12" s="4" t="n">
        <v>1.65</v>
      </c>
      <c r="B12" s="5" t="n">
        <v>0.345</v>
      </c>
      <c r="C12" s="6" t="n">
        <v>0.576772213350746</v>
      </c>
      <c r="D12" s="6" t="n">
        <v>0.1892409705954347</v>
      </c>
      <c r="E12" s="6">
        <f>$B12/($B12+(1-$B12)*D12)</f>
        <v/>
      </c>
      <c r="F12" s="6">
        <f>C12*E12</f>
        <v/>
      </c>
      <c r="G12" s="6" t="n">
        <v>0.6449751942229809</v>
      </c>
      <c r="H12" s="6" t="n">
        <v>0.08229988694412904</v>
      </c>
      <c r="I12" s="6">
        <f>$B12/($B12+(1-$B12)*H12)</f>
        <v/>
      </c>
      <c r="J12" s="6">
        <f>G12*I12</f>
        <v/>
      </c>
      <c r="K12" s="6">
        <f>I12-E12</f>
        <v/>
      </c>
      <c r="L12" s="6" t="n">
        <v>0.3256826182327374</v>
      </c>
    </row>
    <row r="13">
      <c r="A13" s="4" t="n">
        <v>1.7</v>
      </c>
      <c r="B13" s="5" t="n">
        <v>0.335</v>
      </c>
      <c r="C13" s="6" t="n">
        <v>0.6313366791406457</v>
      </c>
      <c r="D13" s="6" t="n">
        <v>0.1852333418677616</v>
      </c>
      <c r="E13" s="6">
        <f>$B13/($B13+(1-$B13)*D13)</f>
        <v/>
      </c>
      <c r="F13" s="6">
        <f>C13*E13</f>
        <v/>
      </c>
      <c r="G13" s="6" t="n">
        <v>0.7037447197003757</v>
      </c>
      <c r="H13" s="6" t="n">
        <v>0.07794869666057691</v>
      </c>
      <c r="I13" s="6">
        <f>$B13/($B13+(1-$B13)*H13)</f>
        <v/>
      </c>
      <c r="J13" s="6">
        <f>G13*I13</f>
        <v/>
      </c>
      <c r="K13" s="6">
        <f>I13-E13</f>
        <v/>
      </c>
      <c r="L13" s="6" t="n">
        <v>0.3043870816108616</v>
      </c>
    </row>
    <row r="14">
      <c r="A14" s="4" t="n">
        <v>1.75</v>
      </c>
      <c r="B14" s="5" t="n">
        <v>0.32</v>
      </c>
      <c r="C14" s="6" t="n">
        <v>0.7045822180273082</v>
      </c>
      <c r="D14" s="6" t="n">
        <v>0.1888162703045277</v>
      </c>
      <c r="E14" s="6">
        <f>$B14/($B14+(1-$B14)*D14)</f>
        <v/>
      </c>
      <c r="F14" s="6">
        <f>C14*E14</f>
        <v/>
      </c>
      <c r="G14" s="6" t="n">
        <v>0.7882315817034957</v>
      </c>
      <c r="H14" s="6" t="n">
        <v>0.07711381756291869</v>
      </c>
      <c r="I14" s="6">
        <f>$B14/($B14+(1-$B14)*H14)</f>
        <v/>
      </c>
      <c r="J14" s="6">
        <f>G14*I14</f>
        <v/>
      </c>
      <c r="K14" s="6">
        <f>I14-E14</f>
        <v/>
      </c>
      <c r="L14" s="6" t="n">
        <v>0.284986457384909</v>
      </c>
    </row>
    <row r="15">
      <c r="A15" s="4" t="n">
        <v>1.8</v>
      </c>
      <c r="B15" s="5" t="n">
        <v>0.305</v>
      </c>
      <c r="C15" s="6" t="n">
        <v>0.7977863715925674</v>
      </c>
      <c r="D15" s="6" t="n">
        <v>0.2063895661447593</v>
      </c>
      <c r="E15" s="6">
        <f>$B15/($B15+(1-$B15)*D15)</f>
        <v/>
      </c>
      <c r="F15" s="6">
        <f>C15*E15</f>
        <v/>
      </c>
      <c r="G15" s="6" t="n">
        <v>0.906372492901554</v>
      </c>
      <c r="H15" s="6" t="n">
        <v>0.09484795756961406</v>
      </c>
      <c r="I15" s="6">
        <f>$B15/($B15+(1-$B15)*H15)</f>
        <v/>
      </c>
      <c r="J15" s="6">
        <f>G15*I15</f>
        <v/>
      </c>
      <c r="K15" s="6">
        <f>I15-E15</f>
        <v/>
      </c>
      <c r="L15" s="6" t="n">
        <v>0.2672667313252264</v>
      </c>
    </row>
    <row r="16">
      <c r="A16" s="4" t="n">
        <v>1.85</v>
      </c>
      <c r="B16" s="5" t="n">
        <v>0.29</v>
      </c>
      <c r="C16" s="6" t="n">
        <v>0.8138885356680825</v>
      </c>
      <c r="D16" s="6" t="n">
        <v>0.2071701428266887</v>
      </c>
      <c r="E16" s="6">
        <f>$B16/($B16+(1-$B16)*D16)</f>
        <v/>
      </c>
      <c r="F16" s="6">
        <f>C16*E16</f>
        <v/>
      </c>
      <c r="G16" s="6" t="n">
        <v>0.9231840071516172</v>
      </c>
      <c r="H16" s="6" t="n">
        <v>0.09769004561430816</v>
      </c>
      <c r="I16" s="6">
        <f>$B16/($B16+(1-$B16)*H16)</f>
        <v/>
      </c>
      <c r="J16" s="6">
        <f>G16*I16</f>
        <v/>
      </c>
      <c r="K16" s="6">
        <f>I16-E16</f>
        <v/>
      </c>
      <c r="L16" s="6" t="n">
        <v>0.2510432517074033</v>
      </c>
    </row>
    <row r="17">
      <c r="A17" s="4" t="n">
        <v>1.9</v>
      </c>
      <c r="B17" s="5" t="n">
        <v>0.275</v>
      </c>
      <c r="C17" s="6" t="n">
        <v>0.8224174261689127</v>
      </c>
      <c r="D17" s="6" t="n">
        <v>0.2041217389818678</v>
      </c>
      <c r="E17" s="6">
        <f>$B17/($B17+(1-$B17)*D17)</f>
        <v/>
      </c>
      <c r="F17" s="6">
        <f>C17*E17</f>
        <v/>
      </c>
      <c r="G17" s="6" t="n">
        <v>0.9270369085304827</v>
      </c>
      <c r="H17" s="6" t="n">
        <v>0.09527246431063385</v>
      </c>
      <c r="I17" s="6">
        <f>$B17/($B17+(1-$B17)*H17)</f>
        <v/>
      </c>
      <c r="J17" s="6">
        <f>G17*I17</f>
        <v/>
      </c>
      <c r="K17" s="6">
        <f>I17-E17</f>
        <v/>
      </c>
      <c r="L17" s="6" t="n">
        <v>0.236155979456892</v>
      </c>
    </row>
    <row r="18">
      <c r="A18" s="4" t="n">
        <v>1.95</v>
      </c>
      <c r="B18" s="5" t="n">
        <v>0.2615</v>
      </c>
      <c r="C18" s="6" t="n">
        <v>0.825345393955061</v>
      </c>
      <c r="D18" s="6" t="n">
        <v>0.1958626295442895</v>
      </c>
      <c r="E18" s="6">
        <f>$B18/($B18+(1-$B18)*D18)</f>
        <v/>
      </c>
      <c r="F18" s="6">
        <f>C18*E18</f>
        <v/>
      </c>
      <c r="G18" s="6" t="n">
        <v>0.9291546156250079</v>
      </c>
      <c r="H18" s="6" t="n">
        <v>0.09243339670071671</v>
      </c>
      <c r="I18" s="6">
        <f>$B18/($B18+(1-$B18)*H18)</f>
        <v/>
      </c>
      <c r="J18" s="6">
        <f>G18*I18</f>
        <v/>
      </c>
      <c r="K18" s="6">
        <f>I18-E18</f>
        <v/>
      </c>
      <c r="L18" s="6" t="n">
        <v>0.2224656252191622</v>
      </c>
    </row>
    <row r="19">
      <c r="A19" s="4" t="n">
        <v>2</v>
      </c>
      <c r="B19" s="5" t="n">
        <v>0.248</v>
      </c>
      <c r="C19" s="6" t="n">
        <v>0.8265366790000138</v>
      </c>
      <c r="D19" s="6" t="n">
        <v>0.1875901535665955</v>
      </c>
      <c r="E19" s="6">
        <f>$B19/($B19+(1-$B19)*D19)</f>
        <v/>
      </c>
      <c r="F19" s="6">
        <f>C19*E19</f>
        <v/>
      </c>
      <c r="G19" s="6" t="n">
        <v>0.9305851916225563</v>
      </c>
      <c r="H19" s="6" t="n">
        <v>0.08956914925587744</v>
      </c>
      <c r="I19" s="6">
        <f>$B19/($B19+(1-$B19)*H19)</f>
        <v/>
      </c>
      <c r="J19" s="6">
        <f>G19*I19</f>
        <v/>
      </c>
      <c r="K19" s="6">
        <f>I19-E19</f>
        <v/>
      </c>
      <c r="L19" s="6" t="n">
        <v>0.2098504851395527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7" customWidth="1" min="3" max="3"/>
    <col width="17" customWidth="1" min="4" max="4"/>
    <col width="17" customWidth="1" min="5" max="5"/>
    <col width="22" customWidth="1" min="6" max="6"/>
    <col width="22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Five-channel power budget, Al reflector — as dr4f.m returns it</t>
        </is>
      </c>
    </row>
    <row r="2">
      <c r="A2" t="inlineStr">
        <is>
          <t>Columns B to E sum to 1 at PLQY = 1 (column J is the check).  F and G split the absorbed fraction by layer.</t>
        </is>
      </c>
    </row>
    <row r="4">
      <c r="A4" s="2" t="inlineStr">
        <is>
          <t>n_sub</t>
        </is>
      </c>
      <c r="B4" s="2" t="inlineStr">
        <is>
          <t>eta_sub</t>
        </is>
      </c>
      <c r="C4" s="2" t="inlineStr">
        <is>
          <t>waveguided</t>
        </is>
      </c>
      <c r="D4" s="2" t="inlineStr">
        <is>
          <t>SPP</t>
        </is>
      </c>
      <c r="E4" s="2" t="inlineStr">
        <is>
          <t>absorbed (total)</t>
        </is>
      </c>
      <c r="F4" s="2" t="inlineStr">
        <is>
          <t xml:space="preserve">  in the reflector</t>
        </is>
      </c>
      <c r="G4" s="2" t="inlineStr">
        <is>
          <t xml:space="preserve">  in the TCO / organics</t>
        </is>
      </c>
      <c r="H4" s="2" t="inlineStr">
        <is>
          <t>A' (round trip)</t>
        </is>
      </c>
      <c r="I4" s="2" t="inlineStr">
        <is>
          <t>eta_ext at p = 0.4</t>
        </is>
      </c>
      <c r="J4" s="2" t="inlineStr">
        <is>
          <t>sum check</t>
        </is>
      </c>
    </row>
    <row r="5">
      <c r="A5" s="4" t="n">
        <v>1.3</v>
      </c>
      <c r="B5" s="6" t="n">
        <v>0.2545774488953764</v>
      </c>
      <c r="C5" s="6" t="n">
        <v>0.6332986276155114</v>
      </c>
      <c r="D5" s="6" t="n">
        <v>0.08547101963826516</v>
      </c>
      <c r="E5" s="6" t="n">
        <v>0.02665290385084564</v>
      </c>
      <c r="F5" s="6" t="n">
        <v>0.01814047192867344</v>
      </c>
      <c r="G5" s="6" t="n">
        <v>0.008512431922172194</v>
      </c>
      <c r="H5" s="6" t="n">
        <v>0.1659048386562776</v>
      </c>
      <c r="I5" s="6" t="n">
        <v>0.8007320241017315</v>
      </c>
      <c r="J5" s="6">
        <f>B5+C5+D5+E5</f>
        <v/>
      </c>
    </row>
    <row r="6">
      <c r="A6" s="4" t="n">
        <v>1.35</v>
      </c>
      <c r="B6" s="6" t="n">
        <v>0.2739293239366931</v>
      </c>
      <c r="C6" s="6" t="n">
        <v>0.6110365691341281</v>
      </c>
      <c r="D6" s="6" t="n">
        <v>0.0853891383349899</v>
      </c>
      <c r="E6" s="6" t="n">
        <v>0.02964496859418707</v>
      </c>
      <c r="F6" s="6" t="n">
        <v>0.02072985750015078</v>
      </c>
      <c r="G6" s="6" t="n">
        <v>0.008915111094036289</v>
      </c>
      <c r="H6" s="6" t="n">
        <v>0.1657270360038535</v>
      </c>
      <c r="I6" s="6" t="n">
        <v>0.800903063691903</v>
      </c>
      <c r="J6" s="6">
        <f>B6+C6+D6+E6</f>
        <v/>
      </c>
    </row>
    <row r="7">
      <c r="A7" s="4" t="n">
        <v>1.4</v>
      </c>
      <c r="B7" s="6" t="n">
        <v>0.3037928927091349</v>
      </c>
      <c r="C7" s="6" t="n">
        <v>0.5753028178983235</v>
      </c>
      <c r="D7" s="6" t="n">
        <v>0.08533355228149984</v>
      </c>
      <c r="E7" s="6" t="n">
        <v>0.0355707371110425</v>
      </c>
      <c r="F7" s="6" t="n">
        <v>0.02541829733835217</v>
      </c>
      <c r="G7" s="6" t="n">
        <v>0.01015243977269033</v>
      </c>
      <c r="H7" s="6" t="n">
        <v>0.1697294850183797</v>
      </c>
      <c r="I7" s="6" t="n">
        <v>0.7970704615552882</v>
      </c>
      <c r="J7" s="6">
        <f>B7+C7+D7+E7</f>
        <v/>
      </c>
    </row>
    <row r="8">
      <c r="A8" s="4" t="n">
        <v>1.45</v>
      </c>
      <c r="B8" s="6" t="n">
        <v>0.3551349980120916</v>
      </c>
      <c r="C8" s="6" t="n">
        <v>0.5100590716554946</v>
      </c>
      <c r="D8" s="6" t="n">
        <v>0.08532763204309457</v>
      </c>
      <c r="E8" s="6" t="n">
        <v>0.04947829828931629</v>
      </c>
      <c r="F8" s="6" t="n">
        <v>0.0358858673709734</v>
      </c>
      <c r="G8" s="6" t="n">
        <v>0.01359243091834289</v>
      </c>
      <c r="H8" s="6" t="n">
        <v>0.1811984239350622</v>
      </c>
      <c r="I8" s="6" t="n">
        <v>0.7862886136679292</v>
      </c>
      <c r="J8" s="6">
        <f>B8+C8+D8+E8</f>
        <v/>
      </c>
    </row>
    <row r="9">
      <c r="A9" s="4" t="n">
        <v>1.5</v>
      </c>
      <c r="B9" s="6" t="n">
        <v>0.3844789689500101</v>
      </c>
      <c r="C9" s="6" t="n">
        <v>0.4797044034704833</v>
      </c>
      <c r="D9" s="6" t="n">
        <v>0.08534082907014726</v>
      </c>
      <c r="E9" s="6" t="n">
        <v>0.05047579850935856</v>
      </c>
      <c r="F9" s="6" t="n">
        <v>0.03659373905628695</v>
      </c>
      <c r="G9" s="6" t="n">
        <v>0.01388205945307161</v>
      </c>
      <c r="H9" s="6" t="n">
        <v>0.1810440950425944</v>
      </c>
      <c r="I9" s="6" t="n">
        <v>0.7864317604302316</v>
      </c>
      <c r="J9" s="6">
        <f>B9+C9+D9+E9</f>
        <v/>
      </c>
    </row>
    <row r="10">
      <c r="A10" s="4" t="n">
        <v>1.55</v>
      </c>
      <c r="B10" s="6" t="n">
        <v>0.4117535494246413</v>
      </c>
      <c r="C10" s="6" t="n">
        <v>0.4490831355544669</v>
      </c>
      <c r="D10" s="6" t="n">
        <v>0.0854166219629118</v>
      </c>
      <c r="E10" s="6" t="n">
        <v>0.0537466930579802</v>
      </c>
      <c r="F10" s="6" t="n">
        <v>0.03835399403940289</v>
      </c>
      <c r="G10" s="6" t="n">
        <v>0.0153926990185773</v>
      </c>
      <c r="H10" s="6" t="n">
        <v>0.179203536958368</v>
      </c>
      <c r="I10" s="6" t="n">
        <v>0.7881429843605096</v>
      </c>
      <c r="J10" s="6">
        <f>B10+C10+D10+E10</f>
        <v/>
      </c>
    </row>
    <row r="11">
      <c r="A11" s="4" t="n">
        <v>1.6</v>
      </c>
      <c r="B11" s="6" t="n">
        <v>0.4907922493568424</v>
      </c>
      <c r="C11" s="6" t="n">
        <v>0.3483000097989973</v>
      </c>
      <c r="D11" s="6" t="n">
        <v>0.08553445979704365</v>
      </c>
      <c r="E11" s="6" t="n">
        <v>0.07537328104711459</v>
      </c>
      <c r="F11" s="6" t="n">
        <v>0.04590444193411538</v>
      </c>
      <c r="G11" s="6" t="n">
        <v>0.02946883911299922</v>
      </c>
      <c r="H11" s="6" t="n">
        <v>0.1874601489333053</v>
      </c>
      <c r="I11" s="6" t="n">
        <v>0.7805242201632248</v>
      </c>
      <c r="J11" s="6">
        <f>B11+C11+D11+E11</f>
        <v/>
      </c>
    </row>
    <row r="12">
      <c r="A12" s="4" t="n">
        <v>1.65</v>
      </c>
      <c r="B12" s="6" t="n">
        <v>0.576772213350746</v>
      </c>
      <c r="C12" s="6" t="n">
        <v>0.2600744015379385</v>
      </c>
      <c r="D12" s="6" t="n">
        <v>0.08583879475660366</v>
      </c>
      <c r="E12" s="6" t="n">
        <v>0.07731459035471498</v>
      </c>
      <c r="F12" s="6" t="n">
        <v>0.04595986943045505</v>
      </c>
      <c r="G12" s="6" t="n">
        <v>0.03135472092425993</v>
      </c>
      <c r="H12" s="6" t="n">
        <v>0.1892409705954347</v>
      </c>
      <c r="I12" s="6" t="n">
        <v>0.7789002430206331</v>
      </c>
      <c r="J12" s="6">
        <f>B12+C12+D12+E12</f>
        <v/>
      </c>
    </row>
    <row r="13">
      <c r="A13" s="4" t="n">
        <v>1.7</v>
      </c>
      <c r="B13" s="6" t="n">
        <v>0.6313366791406457</v>
      </c>
      <c r="C13" s="6" t="n">
        <v>0.2038066838905713</v>
      </c>
      <c r="D13" s="6" t="n">
        <v>0.08629652341230211</v>
      </c>
      <c r="E13" s="6" t="n">
        <v>0.07856011355647928</v>
      </c>
      <c r="F13" s="6" t="n">
        <v>0.04724860755944332</v>
      </c>
      <c r="G13" s="6" t="n">
        <v>0.03131150599703597</v>
      </c>
      <c r="H13" s="6" t="n">
        <v>0.1852333418677616</v>
      </c>
      <c r="I13" s="6" t="n">
        <v>0.782564455907884</v>
      </c>
      <c r="J13" s="6">
        <f>B13+C13+D13+E13</f>
        <v/>
      </c>
    </row>
    <row r="14">
      <c r="A14" s="4" t="n">
        <v>1.75</v>
      </c>
      <c r="B14" s="6" t="n">
        <v>0.7045822180273082</v>
      </c>
      <c r="C14" s="6" t="n">
        <v>0.1210531099856355</v>
      </c>
      <c r="D14" s="6" t="n">
        <v>0.08721770323213403</v>
      </c>
      <c r="E14" s="6" t="n">
        <v>0.08714696875492532</v>
      </c>
      <c r="F14" s="6" t="n">
        <v>0.05204628013601804</v>
      </c>
      <c r="G14" s="6" t="n">
        <v>0.03510068861890728</v>
      </c>
      <c r="H14" s="6" t="n">
        <v>0.1888162703045277</v>
      </c>
      <c r="I14" s="6" t="n">
        <v>0.7792869242102891</v>
      </c>
      <c r="J14" s="6">
        <f>B14+C14+D14+E14</f>
        <v/>
      </c>
    </row>
    <row r="15">
      <c r="A15" s="4" t="n">
        <v>1.8</v>
      </c>
      <c r="B15" s="6" t="n">
        <v>0.7977863715925674</v>
      </c>
      <c r="C15" s="6" t="n">
        <v>0</v>
      </c>
      <c r="D15" s="6" t="n">
        <v>0.09616488378217412</v>
      </c>
      <c r="E15" s="6" t="n">
        <v>0.106048744625259</v>
      </c>
      <c r="F15" s="6" t="n">
        <v>0.06355517951703957</v>
      </c>
      <c r="G15" s="6" t="n">
        <v>0.04249356510821947</v>
      </c>
      <c r="H15" s="6" t="n">
        <v>0.2063895661447593</v>
      </c>
      <c r="I15" s="6" t="n">
        <v>0.7636010621215757</v>
      </c>
      <c r="J15" s="6">
        <f>B15+C15+D15+E15</f>
        <v/>
      </c>
    </row>
    <row r="16">
      <c r="A16" s="4" t="n">
        <v>1.85</v>
      </c>
      <c r="B16" s="6" t="n">
        <v>0.8138885356680825</v>
      </c>
      <c r="C16" s="6" t="n">
        <v>0</v>
      </c>
      <c r="D16" s="6" t="n">
        <v>0.06101955143734605</v>
      </c>
      <c r="E16" s="6" t="n">
        <v>0.1250919128945714</v>
      </c>
      <c r="F16" s="6" t="n">
        <v>0.08802284608650267</v>
      </c>
      <c r="G16" s="6" t="n">
        <v>0.03706906680806872</v>
      </c>
      <c r="H16" s="6" t="n">
        <v>0.2071701428266887</v>
      </c>
      <c r="I16" s="6" t="n">
        <v>0.7629189562902431</v>
      </c>
      <c r="J16" s="6">
        <f>B16+C16+D16+E16</f>
        <v/>
      </c>
    </row>
    <row r="17">
      <c r="A17" s="4" t="n">
        <v>1.9</v>
      </c>
      <c r="B17" s="6" t="n">
        <v>0.8224174261689127</v>
      </c>
      <c r="C17" s="6" t="n">
        <v>0</v>
      </c>
      <c r="D17" s="6" t="n">
        <v>0.008548044949204334</v>
      </c>
      <c r="E17" s="6" t="n">
        <v>0.1690345288818833</v>
      </c>
      <c r="F17" s="6" t="n">
        <v>0.1336581940482593</v>
      </c>
      <c r="G17" s="6" t="n">
        <v>0.035376334833624</v>
      </c>
      <c r="H17" s="6" t="n">
        <v>0.2041217389818678</v>
      </c>
      <c r="I17" s="6" t="n">
        <v>0.7655897372337604</v>
      </c>
      <c r="J17" s="6">
        <f>B17+C17+D17+E17</f>
        <v/>
      </c>
    </row>
    <row r="18">
      <c r="A18" s="4" t="n">
        <v>1.95</v>
      </c>
      <c r="B18" s="6" t="n">
        <v>0.825345393955061</v>
      </c>
      <c r="C18" s="6" t="n">
        <v>0</v>
      </c>
      <c r="D18" s="6" t="n">
        <v>0.002203462931598873</v>
      </c>
      <c r="E18" s="6" t="n">
        <v>0.1724511431133393</v>
      </c>
      <c r="F18" s="6" t="n">
        <v>0.1388853140641125</v>
      </c>
      <c r="G18" s="6" t="n">
        <v>0.03356582904922682</v>
      </c>
      <c r="H18" s="6" t="n">
        <v>0.1958626295442895</v>
      </c>
      <c r="I18" s="6" t="n">
        <v>0.772920606401773</v>
      </c>
      <c r="J18" s="6">
        <f>B18+C18+D18+E18</f>
        <v/>
      </c>
    </row>
    <row r="19">
      <c r="A19" s="4" t="n">
        <v>2</v>
      </c>
      <c r="B19" s="6" t="n">
        <v>0.8265366790000138</v>
      </c>
      <c r="C19" s="6" t="n">
        <v>0</v>
      </c>
      <c r="D19" s="6" t="n">
        <v>0.0009107429419475065</v>
      </c>
      <c r="E19" s="6" t="n">
        <v>0.1725525780580406</v>
      </c>
      <c r="F19" s="6" t="n">
        <v>0.1403857069703003</v>
      </c>
      <c r="G19" s="6" t="n">
        <v>0.03216687108774027</v>
      </c>
      <c r="H19" s="6" t="n">
        <v>0.1875901535665955</v>
      </c>
      <c r="I19" s="6" t="n">
        <v>0.7804054364876217</v>
      </c>
      <c r="J19" s="6">
        <f>B19+C19+D19+E19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7" customWidth="1" min="3" max="3"/>
    <col width="17" customWidth="1" min="4" max="4"/>
    <col width="17" customWidth="1" min="5" max="5"/>
    <col width="22" customWidth="1" min="6" max="6"/>
    <col width="22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Five-channel power budget, Ag reflector — as dr4f.m returns it</t>
        </is>
      </c>
    </row>
    <row r="2">
      <c r="A2" t="inlineStr">
        <is>
          <t>Columns B to E sum to 1 at PLQY = 1 (column J is the check).  F and G split the absorbed fraction by layer.</t>
        </is>
      </c>
    </row>
    <row r="4">
      <c r="A4" s="2" t="inlineStr">
        <is>
          <t>n_sub</t>
        </is>
      </c>
      <c r="B4" s="2" t="inlineStr">
        <is>
          <t>eta_sub</t>
        </is>
      </c>
      <c r="C4" s="2" t="inlineStr">
        <is>
          <t>waveguided</t>
        </is>
      </c>
      <c r="D4" s="2" t="inlineStr">
        <is>
          <t>SPP</t>
        </is>
      </c>
      <c r="E4" s="2" t="inlineStr">
        <is>
          <t>absorbed (total)</t>
        </is>
      </c>
      <c r="F4" s="2" t="inlineStr">
        <is>
          <t xml:space="preserve">  in the reflector</t>
        </is>
      </c>
      <c r="G4" s="2" t="inlineStr">
        <is>
          <t xml:space="preserve">  in the TCO / organics</t>
        </is>
      </c>
      <c r="H4" s="2" t="inlineStr">
        <is>
          <t>A' (round trip)</t>
        </is>
      </c>
      <c r="I4" s="2" t="inlineStr">
        <is>
          <t>eta_ext at p = 0.4</t>
        </is>
      </c>
      <c r="J4" s="2" t="inlineStr">
        <is>
          <t>sum check</t>
        </is>
      </c>
    </row>
    <row r="5">
      <c r="A5" s="4" t="n">
        <v>1.3</v>
      </c>
      <c r="B5" s="6" t="n">
        <v>0.3024157950855146</v>
      </c>
      <c r="C5" s="6" t="n">
        <v>0.6561704376829135</v>
      </c>
      <c r="D5" s="6" t="n">
        <v>0.02850308519284721</v>
      </c>
      <c r="E5" s="6" t="n">
        <v>0.01291068203872528</v>
      </c>
      <c r="F5" s="6" t="n">
        <v>0.002368269464151806</v>
      </c>
      <c r="G5" s="6" t="n">
        <v>0.01054241257457347</v>
      </c>
      <c r="H5" s="6" t="n">
        <v>0.06793277330241843</v>
      </c>
      <c r="I5" s="6" t="n">
        <v>0.9075240605883429</v>
      </c>
      <c r="J5" s="6">
        <f>B5+C5+D5+E5</f>
        <v/>
      </c>
    </row>
    <row r="6">
      <c r="A6" s="4" t="n">
        <v>1.35</v>
      </c>
      <c r="B6" s="6" t="n">
        <v>0.318976400432224</v>
      </c>
      <c r="C6" s="6" t="n">
        <v>0.6394233552263976</v>
      </c>
      <c r="D6" s="6" t="n">
        <v>0.02843003884697655</v>
      </c>
      <c r="E6" s="6" t="n">
        <v>0.01317020549440188</v>
      </c>
      <c r="F6" s="6" t="n">
        <v>0.002604227478874283</v>
      </c>
      <c r="G6" s="6" t="n">
        <v>0.01056597801552759</v>
      </c>
      <c r="H6" s="6" t="n">
        <v>0.06579309378438669</v>
      </c>
      <c r="I6" s="6" t="n">
        <v>0.9101751422578206</v>
      </c>
      <c r="J6" s="6">
        <f>B6+C6+D6+E6</f>
        <v/>
      </c>
    </row>
    <row r="7">
      <c r="A7" s="4" t="n">
        <v>1.4</v>
      </c>
      <c r="B7" s="6" t="n">
        <v>0.3415836846459211</v>
      </c>
      <c r="C7" s="6" t="n">
        <v>0.6159626554355735</v>
      </c>
      <c r="D7" s="6" t="n">
        <v>0.02836702256351838</v>
      </c>
      <c r="E7" s="6" t="n">
        <v>0.0140866373549892</v>
      </c>
      <c r="F7" s="6" t="n">
        <v>0.00297314596303004</v>
      </c>
      <c r="G7" s="6" t="n">
        <v>0.01111349139195916</v>
      </c>
      <c r="H7" s="6" t="n">
        <v>0.06474222095509419</v>
      </c>
      <c r="I7" s="6" t="n">
        <v>0.9114828626630324</v>
      </c>
      <c r="J7" s="6">
        <f>B7+C7+D7+E7</f>
        <v/>
      </c>
    </row>
    <row r="8">
      <c r="A8" s="4" t="n">
        <v>1.45</v>
      </c>
      <c r="B8" s="6" t="n">
        <v>0.3802224941362572</v>
      </c>
      <c r="C8" s="6" t="n">
        <v>0.5747390611858434</v>
      </c>
      <c r="D8" s="6" t="n">
        <v>0.02831694462127933</v>
      </c>
      <c r="E8" s="6" t="n">
        <v>0.01672150005662205</v>
      </c>
      <c r="F8" s="6" t="n">
        <v>0.003721551048912977</v>
      </c>
      <c r="G8" s="6" t="n">
        <v>0.01299994900770907</v>
      </c>
      <c r="H8" s="6" t="n">
        <v>0.06627047452721235</v>
      </c>
      <c r="I8" s="6" t="n">
        <v>0.9095823218628755</v>
      </c>
      <c r="J8" s="6">
        <f>B8+C8+D8+E8</f>
        <v/>
      </c>
    </row>
    <row r="9">
      <c r="A9" s="4" t="n">
        <v>1.5</v>
      </c>
      <c r="B9" s="6" t="n">
        <v>0.4548819218007782</v>
      </c>
      <c r="C9" s="6" t="n">
        <v>0.4924695085614986</v>
      </c>
      <c r="D9" s="6" t="n">
        <v>0.02828412656922709</v>
      </c>
      <c r="E9" s="6" t="n">
        <v>0.02436444306849718</v>
      </c>
      <c r="F9" s="6" t="n">
        <v>0.005511024482866022</v>
      </c>
      <c r="G9" s="6" t="n">
        <v>0.01885341858563115</v>
      </c>
      <c r="H9" s="6" t="n">
        <v>0.07248190902324114</v>
      </c>
      <c r="I9" s="6" t="n">
        <v>0.9019386475099572</v>
      </c>
      <c r="J9" s="6">
        <f>B9+C9+D9+E9</f>
        <v/>
      </c>
    </row>
    <row r="10">
      <c r="A10" s="4" t="n">
        <v>1.55</v>
      </c>
      <c r="B10" s="6" t="n">
        <v>0.4831441894132887</v>
      </c>
      <c r="C10" s="6" t="n">
        <v>0.4651079919321005</v>
      </c>
      <c r="D10" s="6" t="n">
        <v>0.02827069121864925</v>
      </c>
      <c r="E10" s="6" t="n">
        <v>0.02347712743596005</v>
      </c>
      <c r="F10" s="6" t="n">
        <v>0.005145796569672563</v>
      </c>
      <c r="G10" s="6" t="n">
        <v>0.01833133086628748</v>
      </c>
      <c r="H10" s="6" t="n">
        <v>0.07200156338461183</v>
      </c>
      <c r="I10" s="6" t="n">
        <v>0.9025251656219011</v>
      </c>
      <c r="J10" s="6">
        <f>B10+C10+D10+E10</f>
        <v/>
      </c>
    </row>
    <row r="11">
      <c r="A11" s="4" t="n">
        <v>1.6</v>
      </c>
      <c r="B11" s="6" t="n">
        <v>0.5426903154356646</v>
      </c>
      <c r="C11" s="6" t="n">
        <v>0.3968655759734769</v>
      </c>
      <c r="D11" s="6" t="n">
        <v>0.02829061997024972</v>
      </c>
      <c r="E11" s="6" t="n">
        <v>0.03215348862060101</v>
      </c>
      <c r="F11" s="6" t="n">
        <v>0.005598507484126235</v>
      </c>
      <c r="G11" s="6" t="n">
        <v>0.02655498113647478</v>
      </c>
      <c r="H11" s="6" t="n">
        <v>0.07741128204254277</v>
      </c>
      <c r="I11" s="6" t="n">
        <v>0.8959634777823585</v>
      </c>
      <c r="J11" s="6">
        <f>B11+C11+D11+E11</f>
        <v/>
      </c>
    </row>
    <row r="12">
      <c r="A12" s="4" t="n">
        <v>1.65</v>
      </c>
      <c r="B12" s="6" t="n">
        <v>0.6449751942229809</v>
      </c>
      <c r="C12" s="6" t="n">
        <v>0.2865559567445752</v>
      </c>
      <c r="D12" s="6" t="n">
        <v>0.02836971078470408</v>
      </c>
      <c r="E12" s="6" t="n">
        <v>0.04009913824773126</v>
      </c>
      <c r="F12" s="6" t="n">
        <v>0.005753205922402837</v>
      </c>
      <c r="G12" s="6" t="n">
        <v>0.03434593232532842</v>
      </c>
      <c r="H12" s="6" t="n">
        <v>0.08229988694412904</v>
      </c>
      <c r="I12" s="6" t="n">
        <v>0.8901154042896066</v>
      </c>
      <c r="J12" s="6">
        <f>B12+C12+D12+E12</f>
        <v/>
      </c>
    </row>
    <row r="13">
      <c r="A13" s="4" t="n">
        <v>1.7</v>
      </c>
      <c r="B13" s="6" t="n">
        <v>0.7037447197003757</v>
      </c>
      <c r="C13" s="6" t="n">
        <v>0.2278895461368492</v>
      </c>
      <c r="D13" s="6" t="n">
        <v>0.02855716153170796</v>
      </c>
      <c r="E13" s="6" t="n">
        <v>0.03980857263106145</v>
      </c>
      <c r="F13" s="6" t="n">
        <v>0.005725174958551839</v>
      </c>
      <c r="G13" s="6" t="n">
        <v>0.03408339767250961</v>
      </c>
      <c r="H13" s="6" t="n">
        <v>0.07794869666057691</v>
      </c>
      <c r="I13" s="6" t="n">
        <v>0.8953168300043253</v>
      </c>
      <c r="J13" s="6">
        <f>B13+C13+D13+E13</f>
        <v/>
      </c>
    </row>
    <row r="14">
      <c r="A14" s="4" t="n">
        <v>1.75</v>
      </c>
      <c r="B14" s="6" t="n">
        <v>0.7882315817034957</v>
      </c>
      <c r="C14" s="6" t="n">
        <v>0.1380432336624733</v>
      </c>
      <c r="D14" s="6" t="n">
        <v>0.0290743251927819</v>
      </c>
      <c r="E14" s="6" t="n">
        <v>0.04465085944125431</v>
      </c>
      <c r="F14" s="6" t="n">
        <v>0.006011784766547671</v>
      </c>
      <c r="G14" s="6" t="n">
        <v>0.03863907467470663</v>
      </c>
      <c r="H14" s="6" t="n">
        <v>0.07711381756291869</v>
      </c>
      <c r="I14" s="6" t="n">
        <v>0.8963218056967522</v>
      </c>
      <c r="J14" s="6">
        <f>B14+C14+D14+E14</f>
        <v/>
      </c>
    </row>
    <row r="15">
      <c r="A15" s="4" t="n">
        <v>1.8</v>
      </c>
      <c r="B15" s="6" t="n">
        <v>0.906372492901554</v>
      </c>
      <c r="C15" s="6" t="n">
        <v>0</v>
      </c>
      <c r="D15" s="6" t="n">
        <v>0.03797141737522846</v>
      </c>
      <c r="E15" s="6" t="n">
        <v>0.05565608972321385</v>
      </c>
      <c r="F15" s="6" t="n">
        <v>0.006789511388776328</v>
      </c>
      <c r="G15" s="6" t="n">
        <v>0.04886657833443752</v>
      </c>
      <c r="H15" s="6" t="n">
        <v>0.09484795756961406</v>
      </c>
      <c r="I15" s="6" t="n">
        <v>0.8754482782720862</v>
      </c>
      <c r="J15" s="6">
        <f>B15+C15+D15+E15</f>
        <v/>
      </c>
    </row>
    <row r="16">
      <c r="A16" s="4" t="n">
        <v>1.85</v>
      </c>
      <c r="B16" s="6" t="n">
        <v>0.9231840071516172</v>
      </c>
      <c r="C16" s="6" t="n">
        <v>0</v>
      </c>
      <c r="D16" s="6" t="n">
        <v>0.02738999985823456</v>
      </c>
      <c r="E16" s="6" t="n">
        <v>0.04942599299014548</v>
      </c>
      <c r="F16" s="6" t="n">
        <v>0.007287573592019093</v>
      </c>
      <c r="G16" s="6" t="n">
        <v>0.04213841939812639</v>
      </c>
      <c r="H16" s="6" t="n">
        <v>0.09769004561430816</v>
      </c>
      <c r="I16" s="6" t="n">
        <v>0.8721931212943969</v>
      </c>
      <c r="J16" s="6">
        <f>B16+C16+D16+E16</f>
        <v/>
      </c>
    </row>
    <row r="17">
      <c r="A17" s="4" t="n">
        <v>1.9</v>
      </c>
      <c r="B17" s="6" t="n">
        <v>0.9270369085304827</v>
      </c>
      <c r="C17" s="6" t="n">
        <v>0</v>
      </c>
      <c r="D17" s="6" t="n">
        <v>0.02641290991159205</v>
      </c>
      <c r="E17" s="6" t="n">
        <v>0.04655018155793249</v>
      </c>
      <c r="F17" s="6" t="n">
        <v>0.007746225253528874</v>
      </c>
      <c r="G17" s="6" t="n">
        <v>0.03880395630440361</v>
      </c>
      <c r="H17" s="6" t="n">
        <v>0.09527246431063385</v>
      </c>
      <c r="I17" s="6" t="n">
        <v>0.8749605310486774</v>
      </c>
      <c r="J17" s="6">
        <f>B17+C17+D17+E17</f>
        <v/>
      </c>
    </row>
    <row r="18">
      <c r="A18" s="4" t="n">
        <v>1.95</v>
      </c>
      <c r="B18" s="6" t="n">
        <v>0.9291546156250079</v>
      </c>
      <c r="C18" s="6" t="n">
        <v>0</v>
      </c>
      <c r="D18" s="6" t="n">
        <v>0.02572311222206426</v>
      </c>
      <c r="E18" s="6" t="n">
        <v>0.0451222721529282</v>
      </c>
      <c r="F18" s="6" t="n">
        <v>0.00831928505572071</v>
      </c>
      <c r="G18" s="6" t="n">
        <v>0.03680298709720749</v>
      </c>
      <c r="H18" s="6" t="n">
        <v>0.09243339670071671</v>
      </c>
      <c r="I18" s="6" t="n">
        <v>0.878232921901389</v>
      </c>
      <c r="J18" s="6">
        <f>B18+C18+D18+E18</f>
        <v/>
      </c>
    </row>
    <row r="19">
      <c r="A19" s="4" t="n">
        <v>2</v>
      </c>
      <c r="B19" s="6" t="n">
        <v>0.9305851916225563</v>
      </c>
      <c r="C19" s="6" t="n">
        <v>0</v>
      </c>
      <c r="D19" s="6" t="n">
        <v>0.02452012737264999</v>
      </c>
      <c r="E19" s="6" t="n">
        <v>0.04489468100479317</v>
      </c>
      <c r="F19" s="6" t="n">
        <v>0.009500621753608884</v>
      </c>
      <c r="G19" s="6" t="n">
        <v>0.03539405925118429</v>
      </c>
      <c r="H19" s="6" t="n">
        <v>0.08956914925587744</v>
      </c>
      <c r="I19" s="6" t="n">
        <v>0.8815592340775203</v>
      </c>
      <c r="J19" s="6">
        <f>B19+C19+D19+E19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2026-09-20T13:21:51Z</dcterms:created>
  <dcterms:modified xmlns:dcterms="http://purl.org/dc/terms/" xmlns:xsi="http://www.w3.org/2001/XMLSchema-instance" xsi:type="dcterms:W3CDTF">2026-09-20T13:21:51Z</dcterms:modified>
</cp:coreProperties>
</file>